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4e7226b5e6199fc/Documents/"/>
    </mc:Choice>
  </mc:AlternateContent>
  <xr:revisionPtr revIDLastSave="57" documentId="14_{8A6449A0-1706-4D92-B73C-EB1D7A75F8EF}" xr6:coauthVersionLast="47" xr6:coauthVersionMax="47" xr10:uidLastSave="{CF135254-25FE-4221-BA68-98664E0AB61A}"/>
  <bookViews>
    <workbookView xWindow="-110" yWindow="-110" windowWidth="19420" windowHeight="10300" firstSheet="2" activeTab="5" xr2:uid="{2ECAA285-02E2-4B22-B185-B70D44D92292}"/>
  </bookViews>
  <sheets>
    <sheet name="Historicals" sheetId="1" r:id="rId1"/>
    <sheet name="Sheet4" sheetId="8" r:id="rId2"/>
    <sheet name="Sheet1" sheetId="12" r:id="rId3"/>
    <sheet name="Powertable" sheetId="9" r:id="rId4"/>
    <sheet name="Table2" sheetId="5" r:id="rId5"/>
    <sheet name="Sheet3" sheetId="14" r:id="rId6"/>
    <sheet name="Sheet2" sheetId="13" r:id="rId7"/>
    <sheet name="Assumptions" sheetId="2" r:id="rId8"/>
    <sheet name="Predictions" sheetId="3" r:id="rId9"/>
    <sheet name="Output" sheetId="4" r:id="rId10"/>
  </sheets>
  <definedNames>
    <definedName name="ExternalData_1" localSheetId="3" hidden="1">Powertable!$A$1:$D$164</definedName>
  </definedNames>
  <calcPr calcId="191029"/>
  <pivotCaches>
    <pivotCache cacheId="247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5" i="5" l="1"/>
  <c r="S5" i="5"/>
  <c r="S12" i="5"/>
  <c r="S14" i="5" s="1"/>
  <c r="S16" i="5" s="1"/>
  <c r="R5" i="5"/>
  <c r="R12" i="5"/>
  <c r="Q12" i="5"/>
  <c r="Q5" i="5"/>
  <c r="D5" i="5"/>
  <c r="D12" i="5"/>
  <c r="P12" i="5"/>
  <c r="P5" i="5"/>
  <c r="O12" i="5"/>
  <c r="N12" i="5"/>
  <c r="M12" i="5"/>
  <c r="L12" i="5"/>
  <c r="K12" i="5"/>
  <c r="J12" i="5"/>
  <c r="I12" i="5"/>
  <c r="H12" i="5"/>
  <c r="G12" i="5"/>
  <c r="F12" i="5"/>
  <c r="E12" i="5"/>
  <c r="O5" i="5"/>
  <c r="N5" i="5"/>
  <c r="M5" i="5"/>
  <c r="L5" i="5"/>
  <c r="K5" i="5"/>
  <c r="J5" i="5"/>
  <c r="I5" i="5"/>
  <c r="H5" i="5"/>
  <c r="G5" i="5"/>
  <c r="F5" i="5"/>
  <c r="E5" i="5"/>
  <c r="D9" i="3"/>
  <c r="E9" i="3" s="1"/>
  <c r="F9" i="3" s="1"/>
  <c r="G9" i="3" s="1"/>
  <c r="H9" i="3" s="1"/>
  <c r="I9" i="3" s="1"/>
  <c r="J9" i="3" s="1"/>
  <c r="N18" i="1"/>
  <c r="D10" i="3"/>
  <c r="E10" i="3" s="1"/>
  <c r="F10" i="3" s="1"/>
  <c r="G10" i="3" s="1"/>
  <c r="H10" i="3" s="1"/>
  <c r="I10" i="3" s="1"/>
  <c r="J10" i="3" s="1"/>
  <c r="D4" i="3"/>
  <c r="E4" i="3" s="1"/>
  <c r="F4" i="3" s="1"/>
  <c r="G4" i="3" s="1"/>
  <c r="H4" i="3" s="1"/>
  <c r="I4" i="3" s="1"/>
  <c r="J4" i="3" s="1"/>
  <c r="D3" i="3"/>
  <c r="E3" i="3" s="1"/>
  <c r="F3" i="3" s="1"/>
  <c r="G3" i="3" s="1"/>
  <c r="H3" i="3" s="1"/>
  <c r="I3" i="3" s="1"/>
  <c r="J3" i="3" s="1"/>
  <c r="D6" i="1"/>
  <c r="E6" i="1"/>
  <c r="F6" i="1"/>
  <c r="G6" i="1"/>
  <c r="H6" i="1"/>
  <c r="I6" i="1"/>
  <c r="I16" i="1" s="1"/>
  <c r="J6" i="1"/>
  <c r="J16" i="1" s="1"/>
  <c r="K6" i="1"/>
  <c r="L6" i="1"/>
  <c r="M6" i="1"/>
  <c r="N6" i="1"/>
  <c r="D14" i="1"/>
  <c r="E14" i="1"/>
  <c r="E16" i="1" s="1"/>
  <c r="F14" i="1"/>
  <c r="G14" i="1"/>
  <c r="H14" i="1"/>
  <c r="I14" i="1"/>
  <c r="J14" i="1"/>
  <c r="K14" i="1"/>
  <c r="L14" i="1"/>
  <c r="M14" i="1"/>
  <c r="N14" i="1"/>
  <c r="C14" i="1"/>
  <c r="C6" i="1"/>
  <c r="C18" i="14"/>
  <c r="C19" i="14"/>
  <c r="C20" i="14"/>
  <c r="C21" i="14"/>
  <c r="R14" i="5" l="1"/>
  <c r="P14" i="5"/>
  <c r="Q14" i="5"/>
  <c r="F14" i="5"/>
  <c r="N14" i="5"/>
  <c r="G14" i="5"/>
  <c r="O14" i="5"/>
  <c r="D14" i="5"/>
  <c r="D16" i="5" s="1"/>
  <c r="E15" i="5" s="1"/>
  <c r="M14" i="5"/>
  <c r="J14" i="5"/>
  <c r="L14" i="5"/>
  <c r="E14" i="5"/>
  <c r="H14" i="5"/>
  <c r="I14" i="5"/>
  <c r="K14" i="5"/>
  <c r="E14" i="3"/>
  <c r="D14" i="3"/>
  <c r="G14" i="3"/>
  <c r="F14" i="3"/>
  <c r="D6" i="3"/>
  <c r="E6" i="3"/>
  <c r="D16" i="1"/>
  <c r="D18" i="1" s="1"/>
  <c r="E17" i="1" s="1"/>
  <c r="E18" i="1" s="1"/>
  <c r="F17" i="1" s="1"/>
  <c r="H16" i="1"/>
  <c r="C16" i="1"/>
  <c r="C18" i="1" s="1"/>
  <c r="D17" i="1" s="1"/>
  <c r="G16" i="1"/>
  <c r="F16" i="1"/>
  <c r="M16" i="1"/>
  <c r="L16" i="1"/>
  <c r="N16" i="1"/>
  <c r="K16" i="1"/>
  <c r="D21" i="14"/>
  <c r="E21" i="14"/>
  <c r="D20" i="14"/>
  <c r="E20" i="14"/>
  <c r="D19" i="14"/>
  <c r="E19" i="14"/>
  <c r="E18" i="14"/>
  <c r="D18" i="14"/>
  <c r="E16" i="5" l="1"/>
  <c r="F15" i="5" s="1"/>
  <c r="F16" i="5" s="1"/>
  <c r="G15" i="5" s="1"/>
  <c r="G16" i="5" s="1"/>
  <c r="H15" i="5" s="1"/>
  <c r="H16" i="5" s="1"/>
  <c r="I15" i="5" s="1"/>
  <c r="I16" i="5" s="1"/>
  <c r="J15" i="5" s="1"/>
  <c r="J16" i="5" s="1"/>
  <c r="K15" i="5" s="1"/>
  <c r="K16" i="5" s="1"/>
  <c r="L15" i="5" s="1"/>
  <c r="L16" i="5" s="1"/>
  <c r="M15" i="5" s="1"/>
  <c r="M16" i="5" s="1"/>
  <c r="N15" i="5" s="1"/>
  <c r="N16" i="5" s="1"/>
  <c r="O15" i="5" s="1"/>
  <c r="O16" i="5" s="1"/>
  <c r="D16" i="3"/>
  <c r="D18" i="3" s="1"/>
  <c r="E17" i="3" s="1"/>
  <c r="E16" i="3"/>
  <c r="H14" i="3"/>
  <c r="F6" i="3"/>
  <c r="F16" i="3" s="1"/>
  <c r="F18" i="1"/>
  <c r="G17" i="1" s="1"/>
  <c r="G18" i="1" s="1"/>
  <c r="H17" i="1" s="1"/>
  <c r="H18" i="1" s="1"/>
  <c r="I17" i="1" s="1"/>
  <c r="I18" i="1" s="1"/>
  <c r="J17" i="1" s="1"/>
  <c r="J18" i="1" s="1"/>
  <c r="K17" i="1" s="1"/>
  <c r="K18" i="1" s="1"/>
  <c r="L17" i="1" s="1"/>
  <c r="L18" i="1" s="1"/>
  <c r="M17" i="1" s="1"/>
  <c r="M18" i="1" s="1"/>
  <c r="N17" i="1" s="1"/>
  <c r="P15" i="5" l="1"/>
  <c r="P16" i="5" s="1"/>
  <c r="Q15" i="5" s="1"/>
  <c r="Q16" i="5" s="1"/>
  <c r="R15" i="5" s="1"/>
  <c r="R16" i="5" s="1"/>
  <c r="P9" i="4"/>
  <c r="E18" i="3"/>
  <c r="P18" i="3" s="1"/>
  <c r="J14" i="3"/>
  <c r="I14" i="3"/>
  <c r="G6" i="3"/>
  <c r="G16" i="3" s="1"/>
  <c r="F17" i="3" l="1"/>
  <c r="F18" i="3" s="1"/>
  <c r="G17" i="3" s="1"/>
  <c r="G18" i="3" s="1"/>
  <c r="H17" i="3" s="1"/>
  <c r="H6" i="3"/>
  <c r="H16" i="3" s="1"/>
  <c r="I6" i="3"/>
  <c r="I16" i="3" s="1"/>
  <c r="J6" i="3"/>
  <c r="J16" i="3" s="1"/>
  <c r="H18" i="3" l="1"/>
  <c r="I17" i="3" s="1"/>
  <c r="I18" i="3" s="1"/>
  <c r="J17" i="3" s="1"/>
  <c r="J18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EB8758-CE0A-4CDC-853D-328D11788F81}" keepAlive="1" name="Query - Table2" description="Connection to the 'Table2' query in the workbook." type="5" refreshedVersion="8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<sst xmlns="http://schemas.openxmlformats.org/spreadsheetml/2006/main" count="642" uniqueCount="73">
  <si>
    <t>Item</t>
  </si>
  <si>
    <t>Description</t>
  </si>
  <si>
    <t>Jan</t>
  </si>
  <si>
    <t>Feb</t>
  </si>
  <si>
    <t>Mar</t>
  </si>
  <si>
    <t>Cash Inflows</t>
  </si>
  <si>
    <t>Premiums Received</t>
  </si>
  <si>
    <t>Cash collected from policyholders</t>
  </si>
  <si>
    <t>Investment Income</t>
  </si>
  <si>
    <t>Cash received from investments (interest, dividends)</t>
  </si>
  <si>
    <t>Financing Proceeds</t>
  </si>
  <si>
    <t>Cash received from new loans or issuing of securities</t>
  </si>
  <si>
    <t>Total Cash Inflows</t>
  </si>
  <si>
    <t>Sum of all cash inflows</t>
  </si>
  <si>
    <t>Cash Outflows</t>
  </si>
  <si>
    <t>Claims Paid</t>
  </si>
  <si>
    <t>Cash paid out to policyholders for claims</t>
  </si>
  <si>
    <t>Operating Expenses</t>
  </si>
  <si>
    <t>Cash spent on operating the business</t>
  </si>
  <si>
    <t>Capital Expenditures</t>
  </si>
  <si>
    <t>Cash spent on purchasing assets</t>
  </si>
  <si>
    <t>Debt Repayments</t>
  </si>
  <si>
    <t>Cash paid for repaying loans</t>
  </si>
  <si>
    <t>Dividends Paid</t>
  </si>
  <si>
    <t>Cash distributed to shareholders, if applicable</t>
  </si>
  <si>
    <t>Total Cash Outflows</t>
  </si>
  <si>
    <t>Sum of all cash outflows</t>
  </si>
  <si>
    <t>Net Cash Flow</t>
  </si>
  <si>
    <t>Total Cash Inflows - Total Cash Outflows</t>
  </si>
  <si>
    <t>Opening Cash Balance</t>
  </si>
  <si>
    <t>Cash balance at the beginning of the period</t>
  </si>
  <si>
    <t>Closing Cash Balance</t>
  </si>
  <si>
    <t>Opening Cash Balance + Net Cash Flow</t>
  </si>
  <si>
    <t xml:space="preserve">Assumptions </t>
  </si>
  <si>
    <t>Quarterly</t>
  </si>
  <si>
    <t>Growth</t>
  </si>
  <si>
    <t>Monthly growth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</si>
  <si>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</si>
  <si>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</si>
  <si>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</si>
  <si>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</si>
  <si>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</si>
  <si>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</si>
  <si>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</si>
  <si>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</si>
  <si>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</si>
  <si>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Growth/Decline</t>
  </si>
  <si>
    <t>Type</t>
  </si>
  <si>
    <t>Row Labels</t>
  </si>
  <si>
    <t>Grand Total</t>
  </si>
  <si>
    <t>Attribute</t>
  </si>
  <si>
    <t>Value</t>
  </si>
  <si>
    <t>Sum of Value</t>
  </si>
  <si>
    <t>Column Labels</t>
  </si>
  <si>
    <t>Jan-2024</t>
  </si>
  <si>
    <t>Jan-2025</t>
  </si>
  <si>
    <t>Feb-2024</t>
  </si>
  <si>
    <t>Mar-2024</t>
  </si>
  <si>
    <t>Apr-2024</t>
  </si>
  <si>
    <t>May-2024</t>
  </si>
  <si>
    <t>Jun-2024</t>
  </si>
  <si>
    <t>Jul-2024</t>
  </si>
  <si>
    <t>Aug-2024</t>
  </si>
  <si>
    <t>Sep-2024</t>
  </si>
  <si>
    <t>Oct-2024</t>
  </si>
  <si>
    <t>Nov-2024</t>
  </si>
  <si>
    <t>Dec-2024</t>
  </si>
  <si>
    <t>Feb-2025</t>
  </si>
  <si>
    <t>Mar-2025</t>
  </si>
  <si>
    <t>Apr-2025</t>
  </si>
  <si>
    <t>Forecast(Premiums Received)</t>
  </si>
  <si>
    <t>Lower Confidence Bound(Premiums Received)</t>
  </si>
  <si>
    <t>Upper Confidence Bound(Premiums Received)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</si>
</sst>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mmm\-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10" fontId="0" fillId="0" borderId="0" xfId="0" applyNumberFormat="1"/>
    <xf numFmtId="3" fontId="0" fillId="0" borderId="0" xfId="0" applyNumberFormat="1"/>
    <xf numFmtId="10" fontId="0" fillId="0" borderId="0" xfId="1" applyNumberFormat="1" applyFont="1"/>
    <xf numFmtId="0" fontId="2" fillId="0" borderId="0" xfId="0" applyFont="1"/>
    <xf numFmtId="164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5" fontId="2" fillId="0" borderId="0" xfId="0" applyNumberFormat="1" applyFont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14" fontId="2" fillId="0" borderId="1" xfId="0" applyNumberFormat="1" applyFont="1" applyBorder="1"/>
    <xf numFmtId="2" fontId="0" fillId="0" borderId="0" xfId="0" applyNumberFormat="1"/>
    <xf numFmtId="0" fontId="0" fillId="0" borderId="0" xfId="0" applyNumberFormat="1"/>
  </cellXfs>
  <cellStyles count="2">
    <cellStyle name="Normal" xfId="0" builtinId="0"/>
    <cellStyle name="Percent" xfId="1" builtinId="5"/>
  </cellStyles>
  <dxfs count="28">
    <dxf>
      <numFmt numFmtId="2" formatCode="0.00"/>
    </dxf>
    <dxf>
      <numFmt numFmtId="2" formatCode="0.0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[Cash Flow Model.xlsm]Sheet1!PivotTable15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10-494E-9710-FCB0F893FD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10-494E-9710-FCB0F893FD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10-494E-9710-FCB0F893FD01}"/>
              </c:ext>
            </c:extLst>
          </c:dPt>
          <c:cat>
            <c:strRef>
              <c:f>Sheet1!$A$4:$A$7</c:f>
              <c:strCache>
                <c:ptCount val="3"/>
                <c:pt idx="0">
                  <c:v>Financing Proceeds</c:v>
                </c:pt>
                <c:pt idx="1">
                  <c:v>Investment Income</c:v>
                </c:pt>
                <c:pt idx="2">
                  <c:v>Premiums Received</c:v>
                </c:pt>
              </c:strCache>
            </c:strRef>
          </c:cat>
          <c:val>
            <c:numRef>
              <c:f>Sheet1!$B$4:$B$7</c:f>
              <c:numCache>
                <c:formatCode>General</c:formatCode>
                <c:ptCount val="3"/>
                <c:pt idx="0">
                  <c:v>41300</c:v>
                </c:pt>
                <c:pt idx="1">
                  <c:v>363850</c:v>
                </c:pt>
                <c:pt idx="2">
                  <c:v>516350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F8-4D1D-95C6-C59E0586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[Cash Flow Model.xlsm]Sheet1!PivotTable16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Sheet1!$B$14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66-49C3-880F-EDD7BDE6320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466-49C3-880F-EDD7BDE6320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466-49C3-880F-EDD7BDE6320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466-49C3-880F-EDD7BDE6320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466-49C3-880F-EDD7BDE63204}"/>
              </c:ext>
            </c:extLst>
          </c:dPt>
          <c:cat>
            <c:strRef>
              <c:f>Sheet1!$A$15:$A$20</c:f>
              <c:strCache>
                <c:ptCount val="5"/>
                <c:pt idx="0">
                  <c:v>Capital Expenditures</c:v>
                </c:pt>
                <c:pt idx="1">
                  <c:v>Claims Paid</c:v>
                </c:pt>
                <c:pt idx="2">
                  <c:v>Debt Repayments</c:v>
                </c:pt>
                <c:pt idx="3">
                  <c:v>Dividends Paid</c:v>
                </c:pt>
                <c:pt idx="4">
                  <c:v>Operating Expenses</c:v>
                </c:pt>
              </c:strCache>
            </c:strRef>
          </c:cat>
          <c:val>
            <c:numRef>
              <c:f>Sheet1!$B$15:$B$20</c:f>
              <c:numCache>
                <c:formatCode>General</c:formatCode>
                <c:ptCount val="5"/>
                <c:pt idx="0">
                  <c:v>25000</c:v>
                </c:pt>
                <c:pt idx="1">
                  <c:v>423850</c:v>
                </c:pt>
                <c:pt idx="2">
                  <c:v>75000</c:v>
                </c:pt>
                <c:pt idx="3">
                  <c:v>75000</c:v>
                </c:pt>
                <c:pt idx="4">
                  <c:v>243900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31-8A92-7EF028D31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Closing Cash Balance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6"/>
              <c:pt idx="0">
                <c:v>Jan-24</c:v>
              </c:pt>
              <c:pt idx="1">
                <c:v>Feb-24</c:v>
              </c:pt>
              <c:pt idx="2">
                <c:v>Mar-24</c:v>
              </c:pt>
              <c:pt idx="3">
                <c:v>Apr-24</c:v>
              </c:pt>
              <c:pt idx="4">
                <c:v>May-24</c:v>
              </c:pt>
              <c:pt idx="5">
                <c:v>Jun-24</c:v>
              </c:pt>
              <c:pt idx="6">
                <c:v>Jul-24</c:v>
              </c:pt>
              <c:pt idx="7">
                <c:v>Aug-24</c:v>
              </c:pt>
              <c:pt idx="8">
                <c:v>Sep-24</c:v>
              </c:pt>
              <c:pt idx="9">
                <c:v>Oct-24</c:v>
              </c:pt>
              <c:pt idx="10">
                <c:v>Nov-24</c:v>
              </c:pt>
              <c:pt idx="11">
                <c:v>Dec-24</c:v>
              </c:pt>
              <c:pt idx="12">
                <c:v>Jan-25</c:v>
              </c:pt>
              <c:pt idx="13">
                <c:v>Feb-25</c:v>
              </c:pt>
              <c:pt idx="14">
                <c:v>Mar-25</c:v>
              </c:pt>
              <c:pt idx="15">
                <c:v>Apr-25</c:v>
              </c:pt>
            </c:strLit>
          </c:cat>
          <c:val>
            <c:numLit>
              <c:formatCode>General</c:formatCode>
              <c:ptCount val="16"/>
              <c:pt idx="0">
                <c:v>7010000</c:v>
              </c:pt>
              <c:pt idx="1">
                <c:v>7020000</c:v>
              </c:pt>
              <c:pt idx="2">
                <c:v>7005100</c:v>
              </c:pt>
              <c:pt idx="3">
                <c:v>7015100</c:v>
              </c:pt>
              <c:pt idx="4">
                <c:v>7025100</c:v>
              </c:pt>
              <c:pt idx="5">
                <c:v>7010350</c:v>
              </c:pt>
              <c:pt idx="6">
                <c:v>7020350</c:v>
              </c:pt>
              <c:pt idx="7">
                <c:v>7030350</c:v>
              </c:pt>
              <c:pt idx="8">
                <c:v>7015750</c:v>
              </c:pt>
              <c:pt idx="9">
                <c:v>7025750</c:v>
              </c:pt>
              <c:pt idx="10">
                <c:v>7035750</c:v>
              </c:pt>
              <c:pt idx="11">
                <c:v>7021300</c:v>
              </c:pt>
              <c:pt idx="12">
                <c:v>7046250</c:v>
              </c:pt>
              <c:pt idx="13">
                <c:v>7068750</c:v>
              </c:pt>
              <c:pt idx="14">
                <c:v>7091250</c:v>
              </c:pt>
              <c:pt idx="15">
                <c:v>7078750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2D3-4A0E-9686-1108AFEA6DC8}"/>
            </c:ext>
          </c:extLst>
        </c:ser>
        <c:ser>
          <c:idx val="1"/>
          <c:order val="1"/>
          <c:tx>
            <c:v>Net Cash Flow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6"/>
              <c:pt idx="0">
                <c:v>Jan-24</c:v>
              </c:pt>
              <c:pt idx="1">
                <c:v>Feb-24</c:v>
              </c:pt>
              <c:pt idx="2">
                <c:v>Mar-24</c:v>
              </c:pt>
              <c:pt idx="3">
                <c:v>Apr-24</c:v>
              </c:pt>
              <c:pt idx="4">
                <c:v>May-24</c:v>
              </c:pt>
              <c:pt idx="5">
                <c:v>Jun-24</c:v>
              </c:pt>
              <c:pt idx="6">
                <c:v>Jul-24</c:v>
              </c:pt>
              <c:pt idx="7">
                <c:v>Aug-24</c:v>
              </c:pt>
              <c:pt idx="8">
                <c:v>Sep-24</c:v>
              </c:pt>
              <c:pt idx="9">
                <c:v>Oct-24</c:v>
              </c:pt>
              <c:pt idx="10">
                <c:v>Nov-24</c:v>
              </c:pt>
              <c:pt idx="11">
                <c:v>Dec-24</c:v>
              </c:pt>
              <c:pt idx="12">
                <c:v>Jan-25</c:v>
              </c:pt>
              <c:pt idx="13">
                <c:v>Feb-25</c:v>
              </c:pt>
              <c:pt idx="14">
                <c:v>Mar-25</c:v>
              </c:pt>
              <c:pt idx="15">
                <c:v>Apr-25</c:v>
              </c:pt>
            </c:strLit>
          </c:cat>
          <c:val>
            <c:numLit>
              <c:formatCode>General</c:formatCode>
              <c:ptCount val="16"/>
              <c:pt idx="0">
                <c:v>10000</c:v>
              </c:pt>
              <c:pt idx="1">
                <c:v>10000</c:v>
              </c:pt>
              <c:pt idx="2">
                <c:v>-14900</c:v>
              </c:pt>
              <c:pt idx="3">
                <c:v>10000</c:v>
              </c:pt>
              <c:pt idx="4">
                <c:v>10000</c:v>
              </c:pt>
              <c:pt idx="5">
                <c:v>-14750</c:v>
              </c:pt>
              <c:pt idx="6">
                <c:v>10000</c:v>
              </c:pt>
              <c:pt idx="7">
                <c:v>10000</c:v>
              </c:pt>
              <c:pt idx="8">
                <c:v>-14600</c:v>
              </c:pt>
              <c:pt idx="9">
                <c:v>10000</c:v>
              </c:pt>
              <c:pt idx="10">
                <c:v>10000</c:v>
              </c:pt>
              <c:pt idx="11">
                <c:v>-14450</c:v>
              </c:pt>
              <c:pt idx="12">
                <c:v>24950</c:v>
              </c:pt>
              <c:pt idx="13">
                <c:v>22500</c:v>
              </c:pt>
              <c:pt idx="14">
                <c:v>22500</c:v>
              </c:pt>
              <c:pt idx="15">
                <c:v>-12500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2D3-4A0E-9686-1108AFEA6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4664960"/>
        <c:axId val="44184639"/>
      </c:lineChart>
      <c:catAx>
        <c:axId val="22466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4639"/>
        <c:crosses val="autoZero"/>
        <c:auto val="1"/>
        <c:lblAlgn val="ctr"/>
        <c:lblOffset val="100"/>
        <c:noMultiLvlLbl val="0"/>
      </c:catAx>
      <c:valAx>
        <c:axId val="4418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6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Closing Cash Balance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6"/>
              <c:pt idx="0">
                <c:v>Jan-24</c:v>
              </c:pt>
              <c:pt idx="1">
                <c:v>Feb-24</c:v>
              </c:pt>
              <c:pt idx="2">
                <c:v>Mar-24</c:v>
              </c:pt>
              <c:pt idx="3">
                <c:v>Apr-24</c:v>
              </c:pt>
              <c:pt idx="4">
                <c:v>May-24</c:v>
              </c:pt>
              <c:pt idx="5">
                <c:v>Jun-24</c:v>
              </c:pt>
              <c:pt idx="6">
                <c:v>Jul-24</c:v>
              </c:pt>
              <c:pt idx="7">
                <c:v>Aug-24</c:v>
              </c:pt>
              <c:pt idx="8">
                <c:v>Sep-24</c:v>
              </c:pt>
              <c:pt idx="9">
                <c:v>Oct-24</c:v>
              </c:pt>
              <c:pt idx="10">
                <c:v>Nov-24</c:v>
              </c:pt>
              <c:pt idx="11">
                <c:v>Dec-24</c:v>
              </c:pt>
              <c:pt idx="12">
                <c:v>Jan-25</c:v>
              </c:pt>
              <c:pt idx="13">
                <c:v>Feb-25</c:v>
              </c:pt>
              <c:pt idx="14">
                <c:v>Mar-25</c:v>
              </c:pt>
              <c:pt idx="15">
                <c:v>Apr-25</c:v>
              </c:pt>
            </c:strLit>
          </c:cat>
          <c:val>
            <c:numLit>
              <c:formatCode>General</c:formatCode>
              <c:ptCount val="16"/>
              <c:pt idx="0">
                <c:v>7010000</c:v>
              </c:pt>
              <c:pt idx="1">
                <c:v>7020000</c:v>
              </c:pt>
              <c:pt idx="2">
                <c:v>7005100</c:v>
              </c:pt>
              <c:pt idx="3">
                <c:v>7015100</c:v>
              </c:pt>
              <c:pt idx="4">
                <c:v>7025100</c:v>
              </c:pt>
              <c:pt idx="5">
                <c:v>7010350</c:v>
              </c:pt>
              <c:pt idx="6">
                <c:v>7020350</c:v>
              </c:pt>
              <c:pt idx="7">
                <c:v>7030350</c:v>
              </c:pt>
              <c:pt idx="8">
                <c:v>7015750</c:v>
              </c:pt>
              <c:pt idx="9">
                <c:v>7025750</c:v>
              </c:pt>
              <c:pt idx="10">
                <c:v>7035750</c:v>
              </c:pt>
              <c:pt idx="11">
                <c:v>7021300</c:v>
              </c:pt>
              <c:pt idx="12">
                <c:v>7046250</c:v>
              </c:pt>
              <c:pt idx="13">
                <c:v>7068750</c:v>
              </c:pt>
              <c:pt idx="14">
                <c:v>7091250</c:v>
              </c:pt>
              <c:pt idx="15">
                <c:v>7078750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8F2-484E-BAA0-56B3AAC894E6}"/>
            </c:ext>
          </c:extLst>
        </c:ser>
        <c:ser>
          <c:idx val="1"/>
          <c:order val="1"/>
          <c:tx>
            <c:v>Net Cash Flow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6"/>
              <c:pt idx="0">
                <c:v>Jan-24</c:v>
              </c:pt>
              <c:pt idx="1">
                <c:v>Feb-24</c:v>
              </c:pt>
              <c:pt idx="2">
                <c:v>Mar-24</c:v>
              </c:pt>
              <c:pt idx="3">
                <c:v>Apr-24</c:v>
              </c:pt>
              <c:pt idx="4">
                <c:v>May-24</c:v>
              </c:pt>
              <c:pt idx="5">
                <c:v>Jun-24</c:v>
              </c:pt>
              <c:pt idx="6">
                <c:v>Jul-24</c:v>
              </c:pt>
              <c:pt idx="7">
                <c:v>Aug-24</c:v>
              </c:pt>
              <c:pt idx="8">
                <c:v>Sep-24</c:v>
              </c:pt>
              <c:pt idx="9">
                <c:v>Oct-24</c:v>
              </c:pt>
              <c:pt idx="10">
                <c:v>Nov-24</c:v>
              </c:pt>
              <c:pt idx="11">
                <c:v>Dec-24</c:v>
              </c:pt>
              <c:pt idx="12">
                <c:v>Jan-25</c:v>
              </c:pt>
              <c:pt idx="13">
                <c:v>Feb-25</c:v>
              </c:pt>
              <c:pt idx="14">
                <c:v>Mar-25</c:v>
              </c:pt>
              <c:pt idx="15">
                <c:v>Apr-25</c:v>
              </c:pt>
            </c:strLit>
          </c:cat>
          <c:val>
            <c:numLit>
              <c:formatCode>General</c:formatCode>
              <c:ptCount val="16"/>
              <c:pt idx="0">
                <c:v>10000</c:v>
              </c:pt>
              <c:pt idx="1">
                <c:v>10000</c:v>
              </c:pt>
              <c:pt idx="2">
                <c:v>-14900</c:v>
              </c:pt>
              <c:pt idx="3">
                <c:v>10000</c:v>
              </c:pt>
              <c:pt idx="4">
                <c:v>10000</c:v>
              </c:pt>
              <c:pt idx="5">
                <c:v>-14750</c:v>
              </c:pt>
              <c:pt idx="6">
                <c:v>10000</c:v>
              </c:pt>
              <c:pt idx="7">
                <c:v>10000</c:v>
              </c:pt>
              <c:pt idx="8">
                <c:v>-14600</c:v>
              </c:pt>
              <c:pt idx="9">
                <c:v>10000</c:v>
              </c:pt>
              <c:pt idx="10">
                <c:v>10000</c:v>
              </c:pt>
              <c:pt idx="11">
                <c:v>-14450</c:v>
              </c:pt>
              <c:pt idx="12">
                <c:v>24950</c:v>
              </c:pt>
              <c:pt idx="13">
                <c:v>22500</c:v>
              </c:pt>
              <c:pt idx="14">
                <c:v>22500</c:v>
              </c:pt>
              <c:pt idx="15">
                <c:v>-12500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8F2-484E-BAA0-56B3AAC89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4664960"/>
        <c:axId val="44184639"/>
      </c:lineChart>
      <c:catAx>
        <c:axId val="22466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4639"/>
        <c:crosses val="autoZero"/>
        <c:auto val="1"/>
        <c:lblAlgn val="ctr"/>
        <c:lblOffset val="100"/>
        <c:noMultiLvlLbl val="0"/>
      </c:catAx>
      <c:valAx>
        <c:axId val="4418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6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Premiums Received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Sheet3!$B$2:$B$21</c:f>
              <c:numCache>
                <c:formatCode>General</c:formatCode>
                <c:ptCount val="20"/>
                <c:pt idx="0">
                  <c:v>30000</c:v>
                </c:pt>
                <c:pt idx="1">
                  <c:v>30050</c:v>
                </c:pt>
                <c:pt idx="2">
                  <c:v>30100</c:v>
                </c:pt>
                <c:pt idx="3">
                  <c:v>30150</c:v>
                </c:pt>
                <c:pt idx="4">
                  <c:v>30200</c:v>
                </c:pt>
                <c:pt idx="5">
                  <c:v>30250</c:v>
                </c:pt>
                <c:pt idx="6">
                  <c:v>30300</c:v>
                </c:pt>
                <c:pt idx="7">
                  <c:v>30350</c:v>
                </c:pt>
                <c:pt idx="8">
                  <c:v>30400</c:v>
                </c:pt>
                <c:pt idx="9">
                  <c:v>30450</c:v>
                </c:pt>
                <c:pt idx="10">
                  <c:v>30500</c:v>
                </c:pt>
                <c:pt idx="11">
                  <c:v>30550</c:v>
                </c:pt>
                <c:pt idx="12">
                  <c:v>40550</c:v>
                </c:pt>
                <c:pt idx="13">
                  <c:v>37500</c:v>
                </c:pt>
                <c:pt idx="14">
                  <c:v>37500</c:v>
                </c:pt>
                <c:pt idx="15">
                  <c:v>37500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13-4E8A-9215-9871A1271916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Forecast(Premiums Received)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Sheet3!$A$2:$A$21</c:f>
              <c:numCache>
                <c:formatCode>m/d/yyyy</c:formatCode>
                <c:ptCount val="20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  <c:pt idx="12">
                  <c:v>45658</c:v>
                </c:pt>
                <c:pt idx="13">
                  <c:v>45689</c:v>
                </c:pt>
                <c:pt idx="14">
                  <c:v>45717</c:v>
                </c:pt>
                <c:pt idx="15">
                  <c:v>45748</c:v>
                </c:pt>
                <c:pt idx="16">
                  <c:v>45778</c:v>
                </c:pt>
                <c:pt idx="17">
                  <c:v>45809</c:v>
                </c:pt>
                <c:pt idx="18">
                  <c:v>45839</c:v>
                </c:pt>
                <c:pt idx="19">
                  <c:v>45870</c:v>
                </c:pt>
              </c:numCache>
            </c:numRef>
          </c:cat>
          <c:val>
            <c:numRef>
              <c:f>Sheet3!$C$2:$C$21</c:f>
              <c:numCache>
                <c:formatCode>General</c:formatCode>
                <c:ptCount val="20"/>
                <c:pt idx="15">
                  <c:v>37500</c:v>
                </c:pt>
                <c:pt idx="16">
                  <c:v>37809.053046438945</c:v>
                </c:pt>
                <c:pt idx="17">
                  <c:v>38375.563540212584</c:v>
                </c:pt>
                <c:pt idx="18">
                  <c:v>38942.074033986224</c:v>
                </c:pt>
                <c:pt idx="19">
                  <c:v>39508.584527759864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13-4E8A-9215-9871A1271916}"/>
            </c:ext>
          </c:extLst>
        </c:ser>
        <c:ser>
          <c:idx val="2"/>
          <c:order val="2"/>
          <c:tx>
            <c:strRef>
              <c:f>Sheet3!$D$1</c:f>
              <c:strCache>
                <c:ptCount val="1"/>
                <c:pt idx="0">
                  <c:v>Lower Confidence Bound(Premiums Received)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Sheet3!$A$2:$A$21</c:f>
              <c:numCache>
                <c:formatCode>m/d/yyyy</c:formatCode>
                <c:ptCount val="20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  <c:pt idx="12">
                  <c:v>45658</c:v>
                </c:pt>
                <c:pt idx="13">
                  <c:v>45689</c:v>
                </c:pt>
                <c:pt idx="14">
                  <c:v>45717</c:v>
                </c:pt>
                <c:pt idx="15">
                  <c:v>45748</c:v>
                </c:pt>
                <c:pt idx="16">
                  <c:v>45778</c:v>
                </c:pt>
                <c:pt idx="17">
                  <c:v>45809</c:v>
                </c:pt>
                <c:pt idx="18">
                  <c:v>45839</c:v>
                </c:pt>
                <c:pt idx="19">
                  <c:v>45870</c:v>
                </c:pt>
              </c:numCache>
            </c:numRef>
          </c:cat>
          <c:val>
            <c:numRef>
              <c:f>Sheet3!$D$2:$D$21</c:f>
              <c:numCache>
                <c:formatCode>General</c:formatCode>
                <c:ptCount val="20"/>
                <c:pt idx="15" formatCode="0.00">
                  <c:v>37500</c:v>
                </c:pt>
                <c:pt idx="16" formatCode="0.00">
                  <c:v>32941.775054989113</c:v>
                </c:pt>
                <c:pt idx="17" formatCode="0.00">
                  <c:v>33357.305513332314</c:v>
                </c:pt>
                <c:pt idx="18" formatCode="0.00">
                  <c:v>33776.094120034497</c:v>
                </c:pt>
                <c:pt idx="19" formatCode="0.00">
                  <c:v>34197.864523103672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13-4E8A-9215-9871A1271916}"/>
            </c:ext>
          </c:extLst>
        </c:ser>
        <c:ser>
          <c:idx val="3"/>
          <c:order val="3"/>
          <c:tx>
            <c:strRef>
              <c:f>Sheet3!$E$1</c:f>
              <c:strCache>
                <c:ptCount val="1"/>
                <c:pt idx="0">
                  <c:v>Upper Confidence Bound(Premiums Received)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Sheet3!$A$2:$A$21</c:f>
              <c:numCache>
                <c:formatCode>m/d/yyyy</c:formatCode>
                <c:ptCount val="20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  <c:pt idx="12">
                  <c:v>45658</c:v>
                </c:pt>
                <c:pt idx="13">
                  <c:v>45689</c:v>
                </c:pt>
                <c:pt idx="14">
                  <c:v>45717</c:v>
                </c:pt>
                <c:pt idx="15">
                  <c:v>45748</c:v>
                </c:pt>
                <c:pt idx="16">
                  <c:v>45778</c:v>
                </c:pt>
                <c:pt idx="17">
                  <c:v>45809</c:v>
                </c:pt>
                <c:pt idx="18">
                  <c:v>45839</c:v>
                </c:pt>
                <c:pt idx="19">
                  <c:v>45870</c:v>
                </c:pt>
              </c:numCache>
            </c:numRef>
          </c:cat>
          <c:val>
            <c:numRef>
              <c:f>Sheet3!$E$2:$E$21</c:f>
              <c:numCache>
                <c:formatCode>General</c:formatCode>
                <c:ptCount val="20"/>
                <c:pt idx="15" formatCode="0.00">
                  <c:v>37500</c:v>
                </c:pt>
                <c:pt idx="16" formatCode="0.00">
                  <c:v>42676.331037888776</c:v>
                </c:pt>
                <c:pt idx="17" formatCode="0.00">
                  <c:v>43393.821567092855</c:v>
                </c:pt>
                <c:pt idx="18" formatCode="0.00">
                  <c:v>44108.053947937951</c:v>
                </c:pt>
                <c:pt idx="19" formatCode="0.00">
                  <c:v>44819.304532416056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13-4E8A-9215-9871A1271916}"/>
            </c:ext>
          </c:extLst>
        </c:ser>
        <c:ser>
          <c:idx val="4"/>
          <c:order val="4"/>
          <c:tx>
            <c:strRef>
              <c:f>Sheet2!$C$1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Sheet2!$C$2:$C$17</c:f>
              <c:numCache>
                <c:formatCode>General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13-4E8A-9215-9871A127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330207"/>
        <c:axId val="1874629087"/>
      </c:lineChart>
      <c:catAx>
        <c:axId val="174330207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629087"/>
        <c:crosses val="autoZero"/>
        <c:auto val="1"/>
        <c:lblAlgn val="ctr"/>
        <c:lblOffset val="100"/>
        <c:noMultiLvlLbl val="0"/>
      </c:catAx>
      <c:valAx>
        <c:axId val="1874629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30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Premiums Received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Sheet2!$A$2:$A$17</c:f>
              <c:numCache>
                <c:formatCode>m/d/yyyy</c:formatCode>
                <c:ptCount val="16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  <c:pt idx="12">
                  <c:v>45658</c:v>
                </c:pt>
                <c:pt idx="13">
                  <c:v>45689</c:v>
                </c:pt>
                <c:pt idx="14">
                  <c:v>45717</c:v>
                </c:pt>
                <c:pt idx="15">
                  <c:v>45748</c:v>
                </c:pt>
              </c:numCache>
            </c:numRef>
          </c:cat>
          <c:val>
            <c:numRef>
              <c:f>Sheet2!$B$2:$B$17</c:f>
              <c:numCache>
                <c:formatCode>General</c:formatCode>
                <c:ptCount val="16"/>
                <c:pt idx="0">
                  <c:v>30000</c:v>
                </c:pt>
                <c:pt idx="1">
                  <c:v>30050</c:v>
                </c:pt>
                <c:pt idx="2">
                  <c:v>30100</c:v>
                </c:pt>
                <c:pt idx="3">
                  <c:v>30150</c:v>
                </c:pt>
                <c:pt idx="4">
                  <c:v>30200</c:v>
                </c:pt>
                <c:pt idx="5">
                  <c:v>30250</c:v>
                </c:pt>
                <c:pt idx="6">
                  <c:v>30300</c:v>
                </c:pt>
                <c:pt idx="7">
                  <c:v>30350</c:v>
                </c:pt>
                <c:pt idx="8">
                  <c:v>30400</c:v>
                </c:pt>
                <c:pt idx="9">
                  <c:v>30450</c:v>
                </c:pt>
                <c:pt idx="10">
                  <c:v>30500</c:v>
                </c:pt>
                <c:pt idx="11">
                  <c:v>30550</c:v>
                </c:pt>
                <c:pt idx="12">
                  <c:v>40550</c:v>
                </c:pt>
                <c:pt idx="13">
                  <c:v>37500</c:v>
                </c:pt>
                <c:pt idx="14">
                  <c:v>37500</c:v>
                </c:pt>
                <c:pt idx="15">
                  <c:v>37500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D-4B37-A677-4FDFF4C54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85680"/>
        <c:axId val="1022207775"/>
      </c:lineChart>
      <c:dateAx>
        <c:axId val="1194856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07775"/>
        <c:crosses val="autoZero"/>
        <c:auto val="1"/>
        <c:lblOffset val="100"/>
        <c:baseTimeUnit val="months"/>
      </c:dateAx>
      <c:valAx>
        <c:axId val="102220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8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130175</xdr:colOff>
      <xdr:row>2</xdr:row>
      <xdr:rowOff>73025</xdr:rowOff>
    </xdr:from>
    <xdr:to>
      <xdr:col>9</xdr:col>
      <xdr:colOff>152400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1D7AD1-CC54-9811-1771-0B9ACAF04A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454025</xdr:colOff>
      <xdr:row>15</xdr:row>
      <xdr:rowOff>88898</xdr:rowOff>
    </xdr:from>
    <xdr:to>
      <xdr:col>11</xdr:col>
      <xdr:colOff>149225</xdr:colOff>
      <xdr:row>27</xdr:row>
      <xdr:rowOff>184149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3BD1B6B-D3CA-0F94-8170-67388F663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29</xdr:row>
      <xdr:rowOff>0</xdr:rowOff>
    </xdr:from>
    <xdr:to>
      <xdr:col>18</xdr:col>
      <xdr:colOff>47625</xdr:colOff>
      <xdr:row>43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79CE810-5624-4ECC-8308-568846DCD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26</xdr:row>
      <xdr:rowOff>60325</xdr:rowOff>
    </xdr:from>
    <xdr:to>
      <xdr:col>12</xdr:col>
      <xdr:colOff>377825</xdr:colOff>
      <xdr:row>40</xdr:row>
      <xdr:rowOff>136525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F4C0D4-4343-975B-796F-687896460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1000125</xdr:colOff>
      <xdr:row>0</xdr:row>
      <xdr:rowOff>0</xdr:rowOff>
    </xdr:from>
    <xdr:to>
      <xdr:col>7</xdr:col>
      <xdr:colOff>136525</xdr:colOff>
      <xdr:row>20</xdr:row>
      <xdr:rowOff>174626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F5B6D7-B872-8B03-8740-25F0110F2E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69850</xdr:rowOff>
    </xdr:from>
    <xdr:to>
      <xdr:col>13</xdr:col>
      <xdr:colOff>66675</xdr:colOff>
      <xdr:row>16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EE58B7-571E-9A4E-B79F-DC34D30F27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i Arah" refreshedDate="45370.92831851852" createdVersion="8" refreshedVersion="8" minRefreshableVersion="3" recordCount="163" xr:uid="{AE613F79-1901-42D4-85C8-7D46881A3823}">
  <cacheSource type="worksheet">
    <worksheetSource name="Power_table"/>
  </cacheSource>
  <cacheFields count="4">
    <cacheField name="Item" numFmtId="0">
      <sharedItems count="13">
        <s v="Premiums Received"/>
        <s v="Investment Income"/>
        <s v="Financing Proceeds"/>
        <s v="Total Cash Inflows"/>
        <s v="Claims Paid"/>
        <s v="Operating Expenses"/>
        <s v="Capital Expenditures"/>
        <s v="Debt Repayments"/>
        <s v="Dividends Paid"/>
        <s v="Total Cash Outflows"/>
        <s v="Net Cash Flow"/>
        <s v="Opening Cash Balance"/>
        <s v="Closing Cash Balance"/>
      </sharedItems>
    </cacheField>
    <cacheField name="Type" numFmtId="0">
      <sharedItems containsBlank="1" count="3">
        <s v="Cash Inflows"/>
        <m/>
        <s v="Cash Outflows"/>
      </sharedItems>
    </cacheField>
    <cacheField name="Attribute" numFmtId="14">
      <sharedItems count="32">
        <s v="Jan-2024"/>
        <s v="Feb-2024"/>
        <s v="Mar-2024"/>
        <s v="Apr-2024"/>
        <s v="May-2024"/>
        <s v="Jun-2024"/>
        <s v="Jul-2024"/>
        <s v="Aug-2024"/>
        <s v="Sep-2024"/>
        <s v="Oct-2024"/>
        <s v="Nov-2024"/>
        <s v="Dec-2024"/>
        <s v="Jan-2025"/>
        <s v="Feb-2025"/>
        <s v="Mar-2025"/>
        <s v="Apr-2025"/>
        <s v="Jan-24" u="1"/>
        <s v="Feb-24" u="1"/>
        <s v="Mar-24" u="1"/>
        <s v="Apr-24" u="1"/>
        <s v="May-24" u="1"/>
        <s v="Jun-24" u="1"/>
        <s v="Jul-24" u="1"/>
        <s v="Aug-24" u="1"/>
        <s v="Sep-24" u="1"/>
        <s v="Oct-24" u="1"/>
        <s v="Nov-24" u="1"/>
        <s v="Dec-24" u="1"/>
        <s v="Jan-25" u="1"/>
        <s v="Feb-25" u="1"/>
        <s v="Mar-25" u="1"/>
        <s v="Apr-25" u="1"/>
      </sharedItems>
    </cacheField>
    <cacheField name="Value" numFmtId="0">
      <sharedItems containsSemiMixedTypes="0" containsString="0" containsNumber="1" containsInteger="1" minValue="-14900" maxValue="7091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">
  <r>
    <x v="0"/>
    <x v="0"/>
    <x v="0"/>
    <n v="30000"/>
  </r>
  <r>
    <x v="0"/>
    <x v="0"/>
    <x v="1"/>
    <n v="30050"/>
  </r>
  <r>
    <x v="0"/>
    <x v="0"/>
    <x v="2"/>
    <n v="30100"/>
  </r>
  <r>
    <x v="0"/>
    <x v="0"/>
    <x v="3"/>
    <n v="30150"/>
  </r>
  <r>
    <x v="0"/>
    <x v="0"/>
    <x v="4"/>
    <n v="30200"/>
  </r>
  <r>
    <x v="0"/>
    <x v="0"/>
    <x v="5"/>
    <n v="30250"/>
  </r>
  <r>
    <x v="0"/>
    <x v="0"/>
    <x v="6"/>
    <n v="30300"/>
  </r>
  <r>
    <x v="0"/>
    <x v="0"/>
    <x v="7"/>
    <n v="30350"/>
  </r>
  <r>
    <x v="0"/>
    <x v="0"/>
    <x v="8"/>
    <n v="30400"/>
  </r>
  <r>
    <x v="0"/>
    <x v="0"/>
    <x v="9"/>
    <n v="30450"/>
  </r>
  <r>
    <x v="0"/>
    <x v="0"/>
    <x v="10"/>
    <n v="30500"/>
  </r>
  <r>
    <x v="0"/>
    <x v="0"/>
    <x v="11"/>
    <n v="30550"/>
  </r>
  <r>
    <x v="0"/>
    <x v="0"/>
    <x v="12"/>
    <n v="40550"/>
  </r>
  <r>
    <x v="0"/>
    <x v="0"/>
    <x v="13"/>
    <n v="37500"/>
  </r>
  <r>
    <x v="0"/>
    <x v="0"/>
    <x v="14"/>
    <n v="37500"/>
  </r>
  <r>
    <x v="0"/>
    <x v="0"/>
    <x v="15"/>
    <n v="37500"/>
  </r>
  <r>
    <x v="1"/>
    <x v="0"/>
    <x v="0"/>
    <n v="20000"/>
  </r>
  <r>
    <x v="1"/>
    <x v="0"/>
    <x v="1"/>
    <n v="20050"/>
  </r>
  <r>
    <x v="1"/>
    <x v="0"/>
    <x v="2"/>
    <n v="20100"/>
  </r>
  <r>
    <x v="1"/>
    <x v="0"/>
    <x v="3"/>
    <n v="20150"/>
  </r>
  <r>
    <x v="1"/>
    <x v="0"/>
    <x v="4"/>
    <n v="20200"/>
  </r>
  <r>
    <x v="1"/>
    <x v="0"/>
    <x v="5"/>
    <n v="20250"/>
  </r>
  <r>
    <x v="1"/>
    <x v="0"/>
    <x v="6"/>
    <n v="20300"/>
  </r>
  <r>
    <x v="1"/>
    <x v="0"/>
    <x v="7"/>
    <n v="20350"/>
  </r>
  <r>
    <x v="1"/>
    <x v="0"/>
    <x v="8"/>
    <n v="20400"/>
  </r>
  <r>
    <x v="1"/>
    <x v="0"/>
    <x v="9"/>
    <n v="20450"/>
  </r>
  <r>
    <x v="1"/>
    <x v="0"/>
    <x v="10"/>
    <n v="20500"/>
  </r>
  <r>
    <x v="1"/>
    <x v="0"/>
    <x v="11"/>
    <n v="20550"/>
  </r>
  <r>
    <x v="1"/>
    <x v="0"/>
    <x v="12"/>
    <n v="30550"/>
  </r>
  <r>
    <x v="1"/>
    <x v="0"/>
    <x v="13"/>
    <n v="30000"/>
  </r>
  <r>
    <x v="1"/>
    <x v="0"/>
    <x v="14"/>
    <n v="30000"/>
  </r>
  <r>
    <x v="1"/>
    <x v="0"/>
    <x v="15"/>
    <n v="30000"/>
  </r>
  <r>
    <x v="2"/>
    <x v="0"/>
    <x v="2"/>
    <n v="10100"/>
  </r>
  <r>
    <x v="2"/>
    <x v="0"/>
    <x v="5"/>
    <n v="10250"/>
  </r>
  <r>
    <x v="2"/>
    <x v="0"/>
    <x v="8"/>
    <n v="10400"/>
  </r>
  <r>
    <x v="2"/>
    <x v="0"/>
    <x v="11"/>
    <n v="10550"/>
  </r>
  <r>
    <x v="3"/>
    <x v="1"/>
    <x v="0"/>
    <n v="50000"/>
  </r>
  <r>
    <x v="3"/>
    <x v="1"/>
    <x v="1"/>
    <n v="50100"/>
  </r>
  <r>
    <x v="3"/>
    <x v="1"/>
    <x v="2"/>
    <n v="60300"/>
  </r>
  <r>
    <x v="3"/>
    <x v="1"/>
    <x v="3"/>
    <n v="50300"/>
  </r>
  <r>
    <x v="3"/>
    <x v="1"/>
    <x v="4"/>
    <n v="50400"/>
  </r>
  <r>
    <x v="3"/>
    <x v="1"/>
    <x v="5"/>
    <n v="60750"/>
  </r>
  <r>
    <x v="3"/>
    <x v="1"/>
    <x v="6"/>
    <n v="50600"/>
  </r>
  <r>
    <x v="3"/>
    <x v="1"/>
    <x v="7"/>
    <n v="50700"/>
  </r>
  <r>
    <x v="3"/>
    <x v="1"/>
    <x v="8"/>
    <n v="61200"/>
  </r>
  <r>
    <x v="3"/>
    <x v="1"/>
    <x v="9"/>
    <n v="50900"/>
  </r>
  <r>
    <x v="3"/>
    <x v="1"/>
    <x v="10"/>
    <n v="51000"/>
  </r>
  <r>
    <x v="3"/>
    <x v="1"/>
    <x v="11"/>
    <n v="61650"/>
  </r>
  <r>
    <x v="3"/>
    <x v="1"/>
    <x v="12"/>
    <n v="71100"/>
  </r>
  <r>
    <x v="3"/>
    <x v="1"/>
    <x v="13"/>
    <n v="67500"/>
  </r>
  <r>
    <x v="3"/>
    <x v="1"/>
    <x v="14"/>
    <n v="67500"/>
  </r>
  <r>
    <x v="3"/>
    <x v="1"/>
    <x v="15"/>
    <n v="67500"/>
  </r>
  <r>
    <x v="4"/>
    <x v="2"/>
    <x v="0"/>
    <n v="25000"/>
  </r>
  <r>
    <x v="4"/>
    <x v="2"/>
    <x v="1"/>
    <n v="25050"/>
  </r>
  <r>
    <x v="4"/>
    <x v="2"/>
    <x v="2"/>
    <n v="25100"/>
  </r>
  <r>
    <x v="4"/>
    <x v="2"/>
    <x v="3"/>
    <n v="25150"/>
  </r>
  <r>
    <x v="4"/>
    <x v="2"/>
    <x v="4"/>
    <n v="25200"/>
  </r>
  <r>
    <x v="4"/>
    <x v="2"/>
    <x v="5"/>
    <n v="25250"/>
  </r>
  <r>
    <x v="4"/>
    <x v="2"/>
    <x v="6"/>
    <n v="25300"/>
  </r>
  <r>
    <x v="4"/>
    <x v="2"/>
    <x v="7"/>
    <n v="25350"/>
  </r>
  <r>
    <x v="4"/>
    <x v="2"/>
    <x v="8"/>
    <n v="25400"/>
  </r>
  <r>
    <x v="4"/>
    <x v="2"/>
    <x v="9"/>
    <n v="25450"/>
  </r>
  <r>
    <x v="4"/>
    <x v="2"/>
    <x v="10"/>
    <n v="25500"/>
  </r>
  <r>
    <x v="4"/>
    <x v="2"/>
    <x v="11"/>
    <n v="25550"/>
  </r>
  <r>
    <x v="4"/>
    <x v="2"/>
    <x v="12"/>
    <n v="30550"/>
  </r>
  <r>
    <x v="4"/>
    <x v="2"/>
    <x v="13"/>
    <n v="30000"/>
  </r>
  <r>
    <x v="4"/>
    <x v="2"/>
    <x v="14"/>
    <n v="30000"/>
  </r>
  <r>
    <x v="4"/>
    <x v="2"/>
    <x v="15"/>
    <n v="30000"/>
  </r>
  <r>
    <x v="5"/>
    <x v="2"/>
    <x v="0"/>
    <n v="15000"/>
  </r>
  <r>
    <x v="5"/>
    <x v="2"/>
    <x v="1"/>
    <n v="15050"/>
  </r>
  <r>
    <x v="5"/>
    <x v="2"/>
    <x v="2"/>
    <n v="15100"/>
  </r>
  <r>
    <x v="5"/>
    <x v="2"/>
    <x v="3"/>
    <n v="15150"/>
  </r>
  <r>
    <x v="5"/>
    <x v="2"/>
    <x v="4"/>
    <n v="15200"/>
  </r>
  <r>
    <x v="5"/>
    <x v="2"/>
    <x v="5"/>
    <n v="15250"/>
  </r>
  <r>
    <x v="5"/>
    <x v="2"/>
    <x v="6"/>
    <n v="15300"/>
  </r>
  <r>
    <x v="5"/>
    <x v="2"/>
    <x v="7"/>
    <n v="15350"/>
  </r>
  <r>
    <x v="5"/>
    <x v="2"/>
    <x v="8"/>
    <n v="15400"/>
  </r>
  <r>
    <x v="5"/>
    <x v="2"/>
    <x v="9"/>
    <n v="15450"/>
  </r>
  <r>
    <x v="5"/>
    <x v="2"/>
    <x v="10"/>
    <n v="15500"/>
  </r>
  <r>
    <x v="5"/>
    <x v="2"/>
    <x v="11"/>
    <n v="15550"/>
  </r>
  <r>
    <x v="5"/>
    <x v="2"/>
    <x v="12"/>
    <n v="15600"/>
  </r>
  <r>
    <x v="5"/>
    <x v="2"/>
    <x v="13"/>
    <n v="15000"/>
  </r>
  <r>
    <x v="5"/>
    <x v="2"/>
    <x v="14"/>
    <n v="15000"/>
  </r>
  <r>
    <x v="5"/>
    <x v="2"/>
    <x v="15"/>
    <n v="15000"/>
  </r>
  <r>
    <x v="6"/>
    <x v="2"/>
    <x v="2"/>
    <n v="5000"/>
  </r>
  <r>
    <x v="6"/>
    <x v="2"/>
    <x v="5"/>
    <n v="5000"/>
  </r>
  <r>
    <x v="6"/>
    <x v="2"/>
    <x v="8"/>
    <n v="5000"/>
  </r>
  <r>
    <x v="6"/>
    <x v="2"/>
    <x v="11"/>
    <n v="5000"/>
  </r>
  <r>
    <x v="6"/>
    <x v="2"/>
    <x v="15"/>
    <n v="5000"/>
  </r>
  <r>
    <x v="7"/>
    <x v="2"/>
    <x v="2"/>
    <n v="15000"/>
  </r>
  <r>
    <x v="7"/>
    <x v="2"/>
    <x v="5"/>
    <n v="15000"/>
  </r>
  <r>
    <x v="7"/>
    <x v="2"/>
    <x v="8"/>
    <n v="15000"/>
  </r>
  <r>
    <x v="7"/>
    <x v="2"/>
    <x v="11"/>
    <n v="15000"/>
  </r>
  <r>
    <x v="7"/>
    <x v="2"/>
    <x v="15"/>
    <n v="15000"/>
  </r>
  <r>
    <x v="8"/>
    <x v="2"/>
    <x v="2"/>
    <n v="15000"/>
  </r>
  <r>
    <x v="8"/>
    <x v="2"/>
    <x v="5"/>
    <n v="15000"/>
  </r>
  <r>
    <x v="8"/>
    <x v="2"/>
    <x v="8"/>
    <n v="15000"/>
  </r>
  <r>
    <x v="8"/>
    <x v="2"/>
    <x v="11"/>
    <n v="15000"/>
  </r>
  <r>
    <x v="8"/>
    <x v="2"/>
    <x v="15"/>
    <n v="15000"/>
  </r>
  <r>
    <x v="9"/>
    <x v="1"/>
    <x v="0"/>
    <n v="40000"/>
  </r>
  <r>
    <x v="9"/>
    <x v="1"/>
    <x v="1"/>
    <n v="40100"/>
  </r>
  <r>
    <x v="9"/>
    <x v="1"/>
    <x v="2"/>
    <n v="75200"/>
  </r>
  <r>
    <x v="9"/>
    <x v="1"/>
    <x v="3"/>
    <n v="40300"/>
  </r>
  <r>
    <x v="9"/>
    <x v="1"/>
    <x v="4"/>
    <n v="40400"/>
  </r>
  <r>
    <x v="9"/>
    <x v="1"/>
    <x v="5"/>
    <n v="75500"/>
  </r>
  <r>
    <x v="9"/>
    <x v="1"/>
    <x v="6"/>
    <n v="40600"/>
  </r>
  <r>
    <x v="9"/>
    <x v="1"/>
    <x v="7"/>
    <n v="40700"/>
  </r>
  <r>
    <x v="9"/>
    <x v="1"/>
    <x v="8"/>
    <n v="75800"/>
  </r>
  <r>
    <x v="9"/>
    <x v="1"/>
    <x v="9"/>
    <n v="40900"/>
  </r>
  <r>
    <x v="9"/>
    <x v="1"/>
    <x v="10"/>
    <n v="41000"/>
  </r>
  <r>
    <x v="9"/>
    <x v="1"/>
    <x v="11"/>
    <n v="76100"/>
  </r>
  <r>
    <x v="9"/>
    <x v="1"/>
    <x v="12"/>
    <n v="46150"/>
  </r>
  <r>
    <x v="9"/>
    <x v="1"/>
    <x v="13"/>
    <n v="45000"/>
  </r>
  <r>
    <x v="9"/>
    <x v="1"/>
    <x v="14"/>
    <n v="45000"/>
  </r>
  <r>
    <x v="9"/>
    <x v="1"/>
    <x v="15"/>
    <n v="80000"/>
  </r>
  <r>
    <x v="10"/>
    <x v="1"/>
    <x v="0"/>
    <n v="10000"/>
  </r>
  <r>
    <x v="10"/>
    <x v="1"/>
    <x v="1"/>
    <n v="10000"/>
  </r>
  <r>
    <x v="10"/>
    <x v="1"/>
    <x v="2"/>
    <n v="-14900"/>
  </r>
  <r>
    <x v="10"/>
    <x v="1"/>
    <x v="3"/>
    <n v="10000"/>
  </r>
  <r>
    <x v="10"/>
    <x v="1"/>
    <x v="4"/>
    <n v="10000"/>
  </r>
  <r>
    <x v="10"/>
    <x v="1"/>
    <x v="5"/>
    <n v="-14750"/>
  </r>
  <r>
    <x v="10"/>
    <x v="1"/>
    <x v="6"/>
    <n v="10000"/>
  </r>
  <r>
    <x v="10"/>
    <x v="1"/>
    <x v="7"/>
    <n v="10000"/>
  </r>
  <r>
    <x v="10"/>
    <x v="1"/>
    <x v="8"/>
    <n v="-14600"/>
  </r>
  <r>
    <x v="10"/>
    <x v="1"/>
    <x v="9"/>
    <n v="10000"/>
  </r>
  <r>
    <x v="10"/>
    <x v="1"/>
    <x v="10"/>
    <n v="10000"/>
  </r>
  <r>
    <x v="10"/>
    <x v="1"/>
    <x v="11"/>
    <n v="-14450"/>
  </r>
  <r>
    <x v="10"/>
    <x v="1"/>
    <x v="12"/>
    <n v="24950"/>
  </r>
  <r>
    <x v="10"/>
    <x v="1"/>
    <x v="13"/>
    <n v="22500"/>
  </r>
  <r>
    <x v="10"/>
    <x v="1"/>
    <x v="14"/>
    <n v="22500"/>
  </r>
  <r>
    <x v="10"/>
    <x v="1"/>
    <x v="15"/>
    <n v="-12500"/>
  </r>
  <r>
    <x v="11"/>
    <x v="1"/>
    <x v="0"/>
    <n v="7000000"/>
  </r>
  <r>
    <x v="11"/>
    <x v="1"/>
    <x v="1"/>
    <n v="7010000"/>
  </r>
  <r>
    <x v="11"/>
    <x v="1"/>
    <x v="2"/>
    <n v="7020000"/>
  </r>
  <r>
    <x v="11"/>
    <x v="1"/>
    <x v="3"/>
    <n v="7005100"/>
  </r>
  <r>
    <x v="11"/>
    <x v="1"/>
    <x v="4"/>
    <n v="7015100"/>
  </r>
  <r>
    <x v="11"/>
    <x v="1"/>
    <x v="5"/>
    <n v="7025100"/>
  </r>
  <r>
    <x v="11"/>
    <x v="1"/>
    <x v="6"/>
    <n v="7010350"/>
  </r>
  <r>
    <x v="11"/>
    <x v="1"/>
    <x v="7"/>
    <n v="7020350"/>
  </r>
  <r>
    <x v="11"/>
    <x v="1"/>
    <x v="8"/>
    <n v="7030350"/>
  </r>
  <r>
    <x v="11"/>
    <x v="1"/>
    <x v="9"/>
    <n v="7015750"/>
  </r>
  <r>
    <x v="11"/>
    <x v="1"/>
    <x v="10"/>
    <n v="7025750"/>
  </r>
  <r>
    <x v="11"/>
    <x v="1"/>
    <x v="11"/>
    <n v="7035750"/>
  </r>
  <r>
    <x v="11"/>
    <x v="1"/>
    <x v="12"/>
    <n v="7021300"/>
  </r>
  <r>
    <x v="11"/>
    <x v="1"/>
    <x v="13"/>
    <n v="7046250"/>
  </r>
  <r>
    <x v="11"/>
    <x v="1"/>
    <x v="14"/>
    <n v="7068750"/>
  </r>
  <r>
    <x v="11"/>
    <x v="1"/>
    <x v="15"/>
    <n v="7091250"/>
  </r>
  <r>
    <x v="12"/>
    <x v="1"/>
    <x v="0"/>
    <n v="7010000"/>
  </r>
  <r>
    <x v="12"/>
    <x v="1"/>
    <x v="1"/>
    <n v="7020000"/>
  </r>
  <r>
    <x v="12"/>
    <x v="1"/>
    <x v="2"/>
    <n v="7005100"/>
  </r>
  <r>
    <x v="12"/>
    <x v="1"/>
    <x v="3"/>
    <n v="7015100"/>
  </r>
  <r>
    <x v="12"/>
    <x v="1"/>
    <x v="4"/>
    <n v="7025100"/>
  </r>
  <r>
    <x v="12"/>
    <x v="1"/>
    <x v="5"/>
    <n v="7010350"/>
  </r>
  <r>
    <x v="12"/>
    <x v="1"/>
    <x v="6"/>
    <n v="7020350"/>
  </r>
  <r>
    <x v="12"/>
    <x v="1"/>
    <x v="7"/>
    <n v="7030350"/>
  </r>
  <r>
    <x v="12"/>
    <x v="1"/>
    <x v="8"/>
    <n v="7015750"/>
  </r>
  <r>
    <x v="12"/>
    <x v="1"/>
    <x v="9"/>
    <n v="7025750"/>
  </r>
  <r>
    <x v="12"/>
    <x v="1"/>
    <x v="10"/>
    <n v="7035750"/>
  </r>
  <r>
    <x v="12"/>
    <x v="1"/>
    <x v="11"/>
    <n v="7021300"/>
  </r>
  <r>
    <x v="12"/>
    <x v="1"/>
    <x v="12"/>
    <n v="7046250"/>
  </r>
  <r>
    <x v="12"/>
    <x v="1"/>
    <x v="13"/>
    <n v="7068750"/>
  </r>
  <r>
    <x v="12"/>
    <x v="1"/>
    <x v="14"/>
    <n v="7091250"/>
  </r>
  <r>
    <x v="12"/>
    <x v="1"/>
    <x v="15"/>
    <n v="70787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2A19C1-FED9-4234-A374-D15A2F18CE47}" name="PivotTable16" cacheId="2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4:B20" firstHeaderRow="1" firstDataRow="1" firstDataCol="1" rowPageCount="1" colPageCount="1"/>
  <pivotFields count="4">
    <pivotField axis="axisRow" showAll="0">
      <items count="14">
        <item x="6"/>
        <item x="4"/>
        <item x="12"/>
        <item x="7"/>
        <item x="8"/>
        <item x="2"/>
        <item x="1"/>
        <item x="10"/>
        <item x="11"/>
        <item x="5"/>
        <item x="0"/>
        <item x="3"/>
        <item x="9"/>
        <item t="default"/>
      </items>
    </pivotField>
    <pivotField axis="axisPage" multipleItemSelectionAllowed="1" showAll="0">
      <items count="4">
        <item h="1" x="0"/>
        <item x="2"/>
        <item h="1" x="1"/>
        <item t="default"/>
      </items>
    </pivotField>
    <pivotField numFmtId="14" showAll="0"/>
    <pivotField dataField="1" showAll="0"/>
  </pivotFields>
  <rowFields count="1">
    <field x="0"/>
  </rowFields>
  <rowItems count="6">
    <i>
      <x/>
    </i>
    <i>
      <x v="1"/>
    </i>
    <i>
      <x v="3"/>
    </i>
    <i>
      <x v="4"/>
    </i>
    <i>
      <x v="9"/>
    </i>
    <i t="grand">
      <x/>
    </i>
  </rowItems>
  <colItems count="1">
    <i/>
  </colItems>
  <pageFields count="1">
    <pageField fld="1" hier="-1"/>
  </pageFields>
  <dataFields count="1">
    <dataField name="Sum of Value" fld="3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7C0861-8995-48CB-8DBA-7A796F4CBAC9}" name="PivotTable15" cacheId="2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7" firstHeaderRow="1" firstDataRow="1" firstDataCol="1" rowPageCount="1" colPageCount="1"/>
  <pivotFields count="4">
    <pivotField axis="axisRow" showAll="0">
      <items count="14">
        <item x="6"/>
        <item x="4"/>
        <item x="12"/>
        <item x="7"/>
        <item x="8"/>
        <item x="2"/>
        <item x="1"/>
        <item x="10"/>
        <item x="11"/>
        <item x="5"/>
        <item x="0"/>
        <item x="3"/>
        <item x="9"/>
        <item t="default"/>
      </items>
    </pivotField>
    <pivotField name="Type" axis="axisPage" multipleItemSelectionAllowed="1" showAll="0">
      <items count="4">
        <item x="0"/>
        <item h="1" x="2"/>
        <item h="1" x="1"/>
        <item t="default"/>
      </items>
    </pivotField>
    <pivotField numFmtId="14" showAll="0"/>
    <pivotField dataField="1" showAll="0"/>
  </pivotFields>
  <rowFields count="1">
    <field x="0"/>
  </rowFields>
  <rowItems count="4">
    <i>
      <x v="5"/>
    </i>
    <i>
      <x v="6"/>
    </i>
    <i>
      <x v="10"/>
    </i>
    <i t="grand">
      <x/>
    </i>
  </rowItems>
  <colItems count="1">
    <i/>
  </colItems>
  <pageFields count="1">
    <pageField fld="1" hier="-1"/>
  </pageFields>
  <dataFields count="1">
    <dataField name="Sum of Value" fld="3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00503-CC66-4A2B-957F-25933F99D02F}" name="PivotTable18" cacheId="2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A30:C47" firstHeaderRow="1" firstDataRow="2" firstDataCol="1"/>
  <pivotFields count="4">
    <pivotField axis="axisCol" multipleItemSelectionAllowed="1" showAll="0">
      <items count="14">
        <item h="1" x="6"/>
        <item h="1" x="4"/>
        <item x="12"/>
        <item h="1" x="7"/>
        <item h="1" x="8"/>
        <item h="1" x="2"/>
        <item h="1" x="1"/>
        <item x="10"/>
        <item h="1" x="11"/>
        <item h="1" x="5"/>
        <item h="1" x="0"/>
        <item h="1" x="3"/>
        <item h="1" x="9"/>
        <item t="default"/>
      </items>
    </pivotField>
    <pivotField showAll="0"/>
    <pivotField axis="axisRow" numFmtId="14" showAll="0">
      <items count="33"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</pivotFields>
  <rowFields count="1">
    <field x="2"/>
  </rowFields>
  <rowItems count="16"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1">
    <field x="0"/>
  </colFields>
  <colItems count="2">
    <i>
      <x v="2"/>
    </i>
    <i>
      <x v="7"/>
    </i>
  </colItems>
  <dataFields count="1">
    <dataField name="Sum of Value" fld="3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1986EF0-1410-497A-AD09-0EA529302EA2}" autoFormatId="16" applyNumberFormats="0" applyBorderFormats="0" applyFontFormats="0" applyPatternFormats="0" applyAlignmentFormats="0" applyWidthHeightFormats="0">
  <queryTableRefresh nextId="5">
    <queryTableFields count="4">
      <queryTableField id="1" name="Item" tableColumnId="1"/>
      <queryTableField id="2" name="Type" tableColumnId="2"/>
      <queryTableField id="3" name="Attribute" tableColumnId="3"/>
      <queryTableField id="4" name="Value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83767B-C981-4A59-A257-2EC7034E6765}" name="Table4" displayName="Table4" ref="A1:O8" totalsRowShown="0">
  <autoFilter ref="A1:O8" xr:uid="{9883767B-C981-4A59-A257-2EC7034E6765}"/>
  <tableColumns count="15">
    <tableColumn id="1" xr3:uid="{70BC8E6E-2C6E-4441-ADC0-156ED0043844}" name="Item"/>
    <tableColumn id="2" xr3:uid="{6AB1F7FC-7721-420B-BEC3-F8735A6FDE7B}" name="Type"/>
    <tableColumn id="3" xr3:uid="{B548D4B9-AB51-4623-9BD6-61B2240E3FCB}" name="Description"/>
    <tableColumn id="4" xr3:uid="{81E8F87C-AADE-422B-9BBA-038F6EE56E6A}" name="Jan"/>
    <tableColumn id="5" xr3:uid="{5E6D27EA-980F-412E-AD59-D2246F9554B2}" name="Feb"/>
    <tableColumn id="6" xr3:uid="{174FCA50-1B2B-49A2-99E8-05EC6D7ED24F}" name="Mar"/>
    <tableColumn id="7" xr3:uid="{A24C86D7-9C17-4F2D-8D86-6FF67DD4B4F2}" name="Apr"/>
    <tableColumn id="8" xr3:uid="{A8F5F42E-C88C-4526-978D-0EE8323E27B7}" name="May"/>
    <tableColumn id="9" xr3:uid="{6A55278C-AB21-4EE7-8145-9388A94C247A}" name="Jun"/>
    <tableColumn id="10" xr3:uid="{D6C976B3-A701-4D7C-AC02-EE27D689EC6F}" name="Jul"/>
    <tableColumn id="11" xr3:uid="{51EBF101-A315-43C7-B91E-89D927E829C5}" name="Aug"/>
    <tableColumn id="12" xr3:uid="{43F42402-2D42-417B-A707-EA8DF4C8FD71}" name="Sep"/>
    <tableColumn id="13" xr3:uid="{03968C59-55BD-44D9-AD9D-08A252BD3F1F}" name="Oct"/>
    <tableColumn id="14" xr3:uid="{B06D999A-29DE-4CEE-B843-C01987708EC3}" name="Nov"/>
    <tableColumn id="15" xr3:uid="{7A1E9F35-0354-40AA-A250-813CE957F829}" name="Dec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BFA908-026C-458C-B831-703C1AAE84C6}" name="Power_table" displayName="Power_table" ref="A1:D164" tableType="queryTable" totalsRowShown="0">
  <autoFilter ref="A1:D164" xr:uid="{B4BFA908-026C-458C-B831-703C1AAE84C6}"/>
  <tableColumns count="4">
    <tableColumn id="1" xr3:uid="{2BDFDE6A-E86E-4ACD-94E4-DA1BB33DE0C9}" uniqueName="1" name="Item" queryTableFieldId="1" dataDxfId="27"/>
    <tableColumn id="2" xr3:uid="{1C5B76A5-D8B7-4607-BADC-C297918F4CEE}" uniqueName="2" name="Type" queryTableFieldId="2" dataDxfId="26"/>
    <tableColumn id="3" xr3:uid="{1BD120F1-B530-4D86-B85F-3287DD668DAB}" uniqueName="3" name="Attribute" queryTableFieldId="3" dataDxfId="25"/>
    <tableColumn id="4" xr3:uid="{BD78C914-577C-42C4-939F-88976488A5C3}" uniqueName="4" name="Value" queryTableFieldId="4" dataDxf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52AB07-745C-4157-89F2-778B0E8B6E3A}" name="Table2" displayName="Table2" ref="A1:S16" totalsRowShown="0" headerRowDxfId="23" dataDxfId="22">
  <autoFilter ref="A1:S16" xr:uid="{C852AB07-745C-4157-89F2-778B0E8B6E3A}"/>
  <tableColumns count="19">
    <tableColumn id="1" xr3:uid="{43F25671-EE9D-415D-90CF-54B6516F6E03}" name="Item" dataDxfId="21"/>
    <tableColumn id="2" xr3:uid="{246322C9-F25E-4CDE-977A-74A15BA96B51}" name="Type" dataDxfId="20"/>
    <tableColumn id="3" xr3:uid="{54BF33A6-3FCE-474D-BFE0-F175568902DF}" name="Description" dataDxfId="19"/>
    <tableColumn id="4" xr3:uid="{9675C02F-8584-4D2C-AFEC-BC0693E5C890}" name="Jan-2024" dataDxfId="18"/>
    <tableColumn id="5" xr3:uid="{3D79BA5E-EE08-4345-9370-7AFF9FB11561}" name="Feb-2024" dataDxfId="17"/>
    <tableColumn id="6" xr3:uid="{7212AE12-E94C-43BE-B1F9-656B579EF900}" name="Mar-2024" dataDxfId="16"/>
    <tableColumn id="7" xr3:uid="{48A6B0BF-8846-4772-9AE7-4D8E32B560C8}" name="Apr-2024" dataDxfId="15"/>
    <tableColumn id="8" xr3:uid="{293C66AA-A1F2-4FD6-B786-D20C92277290}" name="May-2024" dataDxfId="14"/>
    <tableColumn id="9" xr3:uid="{C79963D8-4DF1-4DE7-B83E-49EE6CE71FA2}" name="Jun-2024" dataDxfId="13"/>
    <tableColumn id="10" xr3:uid="{8D0B3BD4-A4EC-4807-82D7-68B41555A528}" name="Jul-2024" dataDxfId="12"/>
    <tableColumn id="11" xr3:uid="{8C3BDBEA-CC06-4CB8-B662-6EE4BE9E6246}" name="Aug-2024" dataDxfId="11"/>
    <tableColumn id="12" xr3:uid="{3BC57436-EE5B-443C-A868-3B76C6ED4283}" name="Sep-2024" dataDxfId="10"/>
    <tableColumn id="13" xr3:uid="{338D24AA-D08E-4EF0-8909-B3658527E834}" name="Oct-2024" dataDxfId="9"/>
    <tableColumn id="14" xr3:uid="{9734C37D-62FE-43C8-A09F-8F379C8EDCC2}" name="Nov-2024" dataDxfId="8"/>
    <tableColumn id="15" xr3:uid="{95E4FFF4-58CD-4D5D-8B6E-5D4B1D348301}" name="Dec-2024" dataDxfId="7"/>
    <tableColumn id="16" xr3:uid="{56E5186C-E126-4CCF-9B5B-428526469B18}" name="Jan-2025" dataDxfId="6"/>
    <tableColumn id="17" xr3:uid="{04374B1C-9C5A-4AF3-9CA1-AB938282725D}" name="Feb-2025" dataDxfId="5"/>
    <tableColumn id="20" xr3:uid="{3843793A-9F8C-47F2-9F34-EE6BFC88C5CF}" name="Mar-2025" dataDxfId="4"/>
    <tableColumn id="21" xr3:uid="{136D3167-1686-4C75-ADBB-8955D8955542}" name="Apr-2025" dataDxfId="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A2B178-880B-407A-A247-A35B60C99F22}" name="Table1" displayName="Table1" ref="A1:E21" totalsRowShown="0">
  <autoFilter ref="A1:E21" xr:uid="{3DA2B178-880B-407A-A247-A35B60C99F22}"/>
  <tableColumns count="5">
    <tableColumn id="1" xr3:uid="{403725C6-01B6-48EC-BB8F-E4818ECCD590}" name="Description" dataDxfId="2"/>
    <tableColumn id="2" xr3:uid="{8E92605E-5943-4CED-A26B-00104867C2AA}" name="Premiums Received"/>
    <tableColumn id="3" xr3:uid="{98DBD3DF-B197-4BD3-B6F5-F0BDFF408051}" name="Forecast(Premiums Received)">
      <calculatedColumnFormula>_xlfn.FORECAST.ETS(A2,$B$2:$B$17,$A$2:$A$17,1,1)</calculatedColumnFormula>
    </tableColumn>
    <tableColumn id="4" xr3:uid="{A191FA3F-3B0B-4601-B387-B6AD80026237}" name="Lower Confidence Bound(Premiums Received)" dataDxfId="1">
      <calculatedColumnFormula>C2-_xlfn.FORECAST.ETS.CONFINT(A2,$B$2:$B$17,$A$2:$A$17,0.95,1,1)</calculatedColumnFormula>
    </tableColumn>
    <tableColumn id="5" xr3:uid="{1AE4950E-608C-4D00-B5D8-F4758F267703}" name="Upper Confidence Bound(Premiums Received)" dataDxfId="0">
      <calculatedColumnFormula>C2+_xlfn.FORECAST.ETS.CONFINT(A2,$B$2:$B$17,$A$2:$A$17,0.95,1,1)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D4AF84E-6C22-43CC-93EF-94C5F5AAF5BF}">
  <we:reference id="367f4e28-f27a-41a8-92a6-9f79d56cb19e" version="2.1.0.0" store="EXCatalog" storeType="EXCatalog"/>
  <we:alternateReferences>
    <we:reference id="WA200001456" version="2.1.0.0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1C8AA-5C36-4A16-8312-3FA6E2D68847}">
  <sheetPr codeName="Sheet1"/>
  <dimension ref="A1:P18"/>
  <sheetViews>
    <sheetView topLeftCell="G1" workbookViewId="0">
      <selection activeCell="O1" sqref="O1"/>
    </sheetView>
  </sheetViews>
  <sheetFormatPr defaultRowHeight="15" x14ac:dyDescent="0.25"/>
  <cols>
    <col min="1" max="1" width="19.42578125" bestFit="1" customWidth="1"/>
    <col min="2" max="2" width="45.28515625" bestFit="1" customWidth="1"/>
    <col min="3" max="3" width="23" bestFit="1" customWidth="1"/>
    <col min="4" max="4" width="12.28515625" customWidth="1"/>
    <col min="14" max="14" width="12.7109375" customWidth="1"/>
  </cols>
  <sheetData>
    <row r="1" spans="1:16" x14ac:dyDescent="0.25">
      <c r="A1" s="4" t="s">
        <v>0</v>
      </c>
      <c r="B1" s="4" t="s">
        <v>1</v>
      </c>
      <c r="C1" s="5">
        <v>45292</v>
      </c>
      <c r="D1" s="5">
        <v>45324</v>
      </c>
      <c r="E1" s="5">
        <v>45356</v>
      </c>
      <c r="F1" s="5">
        <v>45388</v>
      </c>
      <c r="G1" s="5">
        <v>45420</v>
      </c>
      <c r="H1" s="5">
        <v>45452</v>
      </c>
      <c r="I1" s="5">
        <v>45484</v>
      </c>
      <c r="J1" s="5">
        <v>45516</v>
      </c>
      <c r="K1" s="5">
        <v>45548</v>
      </c>
      <c r="L1" s="5">
        <v>45580</v>
      </c>
      <c r="M1" s="5">
        <v>45612</v>
      </c>
      <c r="N1" s="5">
        <v>45644</v>
      </c>
      <c r="O1" s="5">
        <v>45676</v>
      </c>
    </row>
    <row r="2" spans="1:16" x14ac:dyDescent="0.25">
      <c r="A2" t="s">
        <v>5</v>
      </c>
    </row>
    <row r="3" spans="1:16" x14ac:dyDescent="0.25">
      <c r="A3" t="s">
        <v>6</v>
      </c>
      <c r="B3" t="s">
        <v>7</v>
      </c>
      <c r="C3">
        <v>30000</v>
      </c>
      <c r="D3">
        <v>30050</v>
      </c>
      <c r="E3">
        <v>30100</v>
      </c>
      <c r="F3">
        <v>30150</v>
      </c>
      <c r="G3">
        <v>30200</v>
      </c>
      <c r="H3">
        <v>30250</v>
      </c>
      <c r="I3">
        <v>30300</v>
      </c>
      <c r="J3">
        <v>30350</v>
      </c>
      <c r="K3">
        <v>30400</v>
      </c>
      <c r="L3">
        <v>30450</v>
      </c>
      <c r="M3">
        <v>30500</v>
      </c>
      <c r="N3">
        <v>30550</v>
      </c>
    </row>
    <row r="4" spans="1:16" x14ac:dyDescent="0.25">
      <c r="A4" t="s">
        <v>8</v>
      </c>
      <c r="B4" t="s">
        <v>9</v>
      </c>
      <c r="C4">
        <v>20000</v>
      </c>
      <c r="D4">
        <v>20050</v>
      </c>
      <c r="E4">
        <v>20100</v>
      </c>
      <c r="F4">
        <v>20150</v>
      </c>
      <c r="G4">
        <v>20200</v>
      </c>
      <c r="H4">
        <v>20250</v>
      </c>
      <c r="I4">
        <v>20300</v>
      </c>
      <c r="J4">
        <v>20350</v>
      </c>
      <c r="K4">
        <v>20400</v>
      </c>
      <c r="L4">
        <v>20450</v>
      </c>
      <c r="M4">
        <v>20500</v>
      </c>
      <c r="N4">
        <v>20550</v>
      </c>
    </row>
    <row r="5" spans="1:16" x14ac:dyDescent="0.25">
      <c r="A5" t="s">
        <v>10</v>
      </c>
      <c r="B5" t="s">
        <v>11</v>
      </c>
      <c r="E5">
        <v>10100</v>
      </c>
      <c r="H5">
        <v>10250</v>
      </c>
      <c r="K5">
        <v>10400</v>
      </c>
      <c r="N5">
        <v>10550</v>
      </c>
    </row>
    <row r="6" spans="1:16" x14ac:dyDescent="0.25">
      <c r="A6" s="4" t="s">
        <v>12</v>
      </c>
      <c r="B6" s="4" t="s">
        <v>13</v>
      </c>
      <c r="C6" s="4">
        <f>SUM(C3:C5)</f>
        <v>50000</v>
      </c>
      <c r="D6" s="4">
        <f t="shared" ref="D6:N6" si="0">SUM(D3:D5)</f>
        <v>50100</v>
      </c>
      <c r="E6" s="4">
        <f t="shared" si="0"/>
        <v>60300</v>
      </c>
      <c r="F6" s="4">
        <f t="shared" si="0"/>
        <v>50300</v>
      </c>
      <c r="G6" s="4">
        <f t="shared" si="0"/>
        <v>50400</v>
      </c>
      <c r="H6" s="4">
        <f t="shared" si="0"/>
        <v>60750</v>
      </c>
      <c r="I6" s="4">
        <f t="shared" si="0"/>
        <v>50600</v>
      </c>
      <c r="J6" s="4">
        <f t="shared" si="0"/>
        <v>50700</v>
      </c>
      <c r="K6" s="4">
        <f t="shared" si="0"/>
        <v>61200</v>
      </c>
      <c r="L6" s="4">
        <f t="shared" si="0"/>
        <v>50900</v>
      </c>
      <c r="M6" s="4">
        <f t="shared" si="0"/>
        <v>51000</v>
      </c>
      <c r="N6" s="4">
        <f t="shared" si="0"/>
        <v>61650</v>
      </c>
    </row>
    <row r="8" spans="1:16" x14ac:dyDescent="0.25">
      <c r="A8" t="s">
        <v>14</v>
      </c>
    </row>
    <row r="9" spans="1:16" x14ac:dyDescent="0.25">
      <c r="A9" t="s">
        <v>15</v>
      </c>
      <c r="B9" t="s">
        <v>16</v>
      </c>
      <c r="C9">
        <v>25000</v>
      </c>
      <c r="D9">
        <v>25050</v>
      </c>
      <c r="E9">
        <v>25100</v>
      </c>
      <c r="F9">
        <v>25150</v>
      </c>
      <c r="G9">
        <v>25200</v>
      </c>
      <c r="H9">
        <v>25250</v>
      </c>
      <c r="I9">
        <v>25300</v>
      </c>
      <c r="J9">
        <v>25350</v>
      </c>
      <c r="K9">
        <v>25400</v>
      </c>
      <c r="L9">
        <v>25450</v>
      </c>
      <c r="M9">
        <v>25500</v>
      </c>
      <c r="N9">
        <v>25550</v>
      </c>
    </row>
    <row r="10" spans="1:16" x14ac:dyDescent="0.25">
      <c r="A10" t="s">
        <v>17</v>
      </c>
      <c r="B10" t="s">
        <v>18</v>
      </c>
      <c r="C10">
        <v>15000</v>
      </c>
      <c r="D10">
        <v>15050</v>
      </c>
      <c r="E10">
        <v>15100</v>
      </c>
      <c r="F10">
        <v>15150</v>
      </c>
      <c r="G10">
        <v>15200</v>
      </c>
      <c r="H10">
        <v>15250</v>
      </c>
      <c r="I10">
        <v>15300</v>
      </c>
      <c r="J10">
        <v>15350</v>
      </c>
      <c r="K10">
        <v>15400</v>
      </c>
      <c r="L10">
        <v>15450</v>
      </c>
      <c r="M10">
        <v>15500</v>
      </c>
      <c r="N10">
        <v>15550</v>
      </c>
    </row>
    <row r="11" spans="1:16" x14ac:dyDescent="0.25">
      <c r="A11" t="s">
        <v>19</v>
      </c>
      <c r="B11" t="s">
        <v>20</v>
      </c>
      <c r="E11">
        <v>5000</v>
      </c>
      <c r="H11">
        <v>5000</v>
      </c>
      <c r="K11">
        <v>5000</v>
      </c>
      <c r="N11">
        <v>5000</v>
      </c>
    </row>
    <row r="12" spans="1:16" x14ac:dyDescent="0.25">
      <c r="A12" t="s">
        <v>21</v>
      </c>
      <c r="B12" t="s">
        <v>22</v>
      </c>
      <c r="E12">
        <v>15000</v>
      </c>
      <c r="H12">
        <v>15000</v>
      </c>
      <c r="K12">
        <v>15000</v>
      </c>
      <c r="N12">
        <v>15000</v>
      </c>
    </row>
    <row r="13" spans="1:16" x14ac:dyDescent="0.25">
      <c r="A13" t="s">
        <v>23</v>
      </c>
      <c r="B13" t="s">
        <v>24</v>
      </c>
      <c r="E13">
        <v>15000</v>
      </c>
      <c r="H13">
        <v>15000</v>
      </c>
      <c r="K13">
        <v>15000</v>
      </c>
      <c r="N13">
        <v>15000</v>
      </c>
    </row>
    <row r="14" spans="1:16" x14ac:dyDescent="0.25">
      <c r="A14" s="4" t="s">
        <v>25</v>
      </c>
      <c r="B14" s="4" t="s">
        <v>26</v>
      </c>
      <c r="C14" s="4">
        <f>SUM(C9:C13)</f>
        <v>40000</v>
      </c>
      <c r="D14" s="4">
        <f t="shared" ref="D14:N14" si="1">SUM(D9:D13)</f>
        <v>40100</v>
      </c>
      <c r="E14" s="4">
        <f t="shared" si="1"/>
        <v>75200</v>
      </c>
      <c r="F14" s="4">
        <f t="shared" si="1"/>
        <v>40300</v>
      </c>
      <c r="G14" s="4">
        <f t="shared" si="1"/>
        <v>40400</v>
      </c>
      <c r="H14" s="4">
        <f t="shared" si="1"/>
        <v>75500</v>
      </c>
      <c r="I14" s="4">
        <f t="shared" si="1"/>
        <v>40600</v>
      </c>
      <c r="J14" s="4">
        <f t="shared" si="1"/>
        <v>40700</v>
      </c>
      <c r="K14" s="4">
        <f t="shared" si="1"/>
        <v>75800</v>
      </c>
      <c r="L14" s="4">
        <f t="shared" si="1"/>
        <v>40900</v>
      </c>
      <c r="M14" s="4">
        <f t="shared" si="1"/>
        <v>41000</v>
      </c>
      <c r="N14" s="4">
        <f t="shared" si="1"/>
        <v>76100</v>
      </c>
      <c r="O14" s="4"/>
      <c r="P14" s="4"/>
    </row>
    <row r="16" spans="1:16" x14ac:dyDescent="0.25">
      <c r="A16" s="4" t="s">
        <v>27</v>
      </c>
      <c r="B16" s="4" t="s">
        <v>28</v>
      </c>
      <c r="C16" s="4">
        <f>C6-C14</f>
        <v>10000</v>
      </c>
      <c r="D16" s="4">
        <f t="shared" ref="D16:N16" si="2">D6-D14</f>
        <v>10000</v>
      </c>
      <c r="E16" s="4">
        <f t="shared" si="2"/>
        <v>-14900</v>
      </c>
      <c r="F16" s="4">
        <f t="shared" si="2"/>
        <v>10000</v>
      </c>
      <c r="G16" s="4">
        <f t="shared" si="2"/>
        <v>10000</v>
      </c>
      <c r="H16" s="4">
        <f t="shared" si="2"/>
        <v>-14750</v>
      </c>
      <c r="I16" s="4">
        <f t="shared" si="2"/>
        <v>10000</v>
      </c>
      <c r="J16" s="4">
        <f t="shared" si="2"/>
        <v>10000</v>
      </c>
      <c r="K16" s="4">
        <f t="shared" si="2"/>
        <v>-14600</v>
      </c>
      <c r="L16" s="4">
        <f t="shared" si="2"/>
        <v>10000</v>
      </c>
      <c r="M16" s="4">
        <f t="shared" si="2"/>
        <v>10000</v>
      </c>
      <c r="N16" s="4">
        <f t="shared" si="2"/>
        <v>-14450</v>
      </c>
    </row>
    <row r="17" spans="1:14" x14ac:dyDescent="0.25">
      <c r="A17" t="s">
        <v>29</v>
      </c>
      <c r="B17" t="s">
        <v>30</v>
      </c>
      <c r="C17">
        <v>7000000</v>
      </c>
      <c r="D17">
        <f>C18</f>
        <v>7010000</v>
      </c>
      <c r="E17">
        <f t="shared" ref="E17:N17" si="3">D18</f>
        <v>7020000</v>
      </c>
      <c r="F17">
        <f t="shared" si="3"/>
        <v>7005100</v>
      </c>
      <c r="G17">
        <f t="shared" si="3"/>
        <v>7015100</v>
      </c>
      <c r="H17">
        <f t="shared" si="3"/>
        <v>7025100</v>
      </c>
      <c r="I17">
        <f t="shared" si="3"/>
        <v>7010350</v>
      </c>
      <c r="J17">
        <f t="shared" si="3"/>
        <v>7020350</v>
      </c>
      <c r="K17">
        <f t="shared" si="3"/>
        <v>7030350</v>
      </c>
      <c r="L17">
        <f t="shared" si="3"/>
        <v>7015750</v>
      </c>
      <c r="M17">
        <f t="shared" si="3"/>
        <v>7025750</v>
      </c>
      <c r="N17">
        <f t="shared" si="3"/>
        <v>7035750</v>
      </c>
    </row>
    <row r="18" spans="1:14" x14ac:dyDescent="0.25">
      <c r="A18" s="4" t="s">
        <v>31</v>
      </c>
      <c r="B18" s="4" t="s">
        <v>32</v>
      </c>
      <c r="C18" s="4">
        <f>C17+C16</f>
        <v>7010000</v>
      </c>
      <c r="D18" s="4">
        <f>D17+D16</f>
        <v>7020000</v>
      </c>
      <c r="E18" s="4">
        <f t="shared" ref="E18:N18" si="4">E17+E16</f>
        <v>7005100</v>
      </c>
      <c r="F18" s="4">
        <f t="shared" si="4"/>
        <v>7015100</v>
      </c>
      <c r="G18" s="4">
        <f t="shared" si="4"/>
        <v>7025100</v>
      </c>
      <c r="H18" s="4">
        <f t="shared" si="4"/>
        <v>7010350</v>
      </c>
      <c r="I18" s="4">
        <f t="shared" si="4"/>
        <v>7020350</v>
      </c>
      <c r="J18" s="4">
        <f t="shared" si="4"/>
        <v>7030350</v>
      </c>
      <c r="K18" s="4">
        <f t="shared" si="4"/>
        <v>7015750</v>
      </c>
      <c r="L18" s="4">
        <f t="shared" si="4"/>
        <v>7025750</v>
      </c>
      <c r="M18" s="4">
        <f t="shared" si="4"/>
        <v>7035750</v>
      </c>
      <c r="N18" s="4">
        <f t="shared" si="4"/>
        <v>7021300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6FECA-36CB-4CF4-B55B-595162A41238}">
  <sheetPr codeName="Sheet2"/>
  <dimension ref="A1:O8"/>
  <sheetViews>
    <sheetView workbookViewId="0">
      <selection sqref="A1:O8"/>
    </sheetView>
  </sheetViews>
  <sheetFormatPr defaultRowHeight="15" x14ac:dyDescent="0.25"/>
  <cols>
    <col min="3" max="3" width="13" customWidth="1"/>
  </cols>
  <sheetData>
    <row r="1" spans="1:15" x14ac:dyDescent="0.25">
      <c r="A1" t="s">
        <v>0</v>
      </c>
      <c r="B1" t="s">
        <v>47</v>
      </c>
      <c r="C1" t="s">
        <v>1</v>
      </c>
      <c r="D1" t="s">
        <v>2</v>
      </c>
      <c r="E1" t="s">
        <v>3</v>
      </c>
      <c r="F1" t="s">
        <v>4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</row>
    <row r="2" spans="1:15" x14ac:dyDescent="0.25">
      <c r="A2" t="s">
        <v>31</v>
      </c>
      <c r="C2" t="s">
        <v>32</v>
      </c>
      <c r="D2">
        <v>7010000</v>
      </c>
      <c r="E2">
        <v>7020000</v>
      </c>
      <c r="F2">
        <v>7005100</v>
      </c>
      <c r="G2">
        <v>7015100</v>
      </c>
      <c r="H2">
        <v>7025100</v>
      </c>
      <c r="I2">
        <v>7010350</v>
      </c>
      <c r="J2">
        <v>7020350</v>
      </c>
      <c r="K2">
        <v>7030350</v>
      </c>
      <c r="L2">
        <v>7015750</v>
      </c>
      <c r="M2">
        <v>7025750</v>
      </c>
      <c r="N2">
        <v>7035750</v>
      </c>
      <c r="O2">
        <v>7021300</v>
      </c>
    </row>
    <row r="3" spans="1:15" x14ac:dyDescent="0.25">
      <c r="A3" t="s">
        <v>29</v>
      </c>
      <c r="C3" t="s">
        <v>30</v>
      </c>
      <c r="D3">
        <v>7000000</v>
      </c>
      <c r="E3">
        <v>7010000</v>
      </c>
      <c r="F3">
        <v>7020000</v>
      </c>
      <c r="G3">
        <v>7005100</v>
      </c>
      <c r="H3">
        <v>7015100</v>
      </c>
      <c r="I3">
        <v>7025100</v>
      </c>
      <c r="J3">
        <v>7010350</v>
      </c>
      <c r="K3">
        <v>7020350</v>
      </c>
      <c r="L3">
        <v>7030350</v>
      </c>
      <c r="M3">
        <v>7015750</v>
      </c>
      <c r="N3">
        <v>7025750</v>
      </c>
      <c r="O3">
        <v>7035750</v>
      </c>
    </row>
    <row r="4" spans="1:15" x14ac:dyDescent="0.25">
      <c r="A4" t="s">
        <v>27</v>
      </c>
      <c r="C4" t="s">
        <v>28</v>
      </c>
      <c r="D4">
        <v>10000</v>
      </c>
      <c r="E4">
        <v>10000</v>
      </c>
      <c r="F4">
        <v>-14900</v>
      </c>
      <c r="G4">
        <v>10000</v>
      </c>
      <c r="H4">
        <v>10000</v>
      </c>
      <c r="I4">
        <v>-14750</v>
      </c>
      <c r="J4">
        <v>10000</v>
      </c>
      <c r="K4">
        <v>10000</v>
      </c>
      <c r="L4">
        <v>-14600</v>
      </c>
      <c r="M4">
        <v>10000</v>
      </c>
      <c r="N4">
        <v>10000</v>
      </c>
      <c r="O4">
        <v>-14450</v>
      </c>
    </row>
    <row r="5" spans="1:15" x14ac:dyDescent="0.25">
      <c r="A5" t="s">
        <v>12</v>
      </c>
      <c r="C5" t="s">
        <v>13</v>
      </c>
      <c r="D5">
        <v>50000</v>
      </c>
      <c r="E5">
        <v>50100</v>
      </c>
      <c r="F5">
        <v>60300</v>
      </c>
      <c r="G5">
        <v>50300</v>
      </c>
      <c r="H5">
        <v>50400</v>
      </c>
      <c r="I5">
        <v>60750</v>
      </c>
      <c r="J5">
        <v>50600</v>
      </c>
      <c r="K5">
        <v>50700</v>
      </c>
      <c r="L5">
        <v>61200</v>
      </c>
      <c r="M5">
        <v>50900</v>
      </c>
      <c r="N5">
        <v>51000</v>
      </c>
      <c r="O5">
        <v>61650</v>
      </c>
    </row>
    <row r="8" spans="1:15" x14ac:dyDescent="0.25">
      <c r="A8" t="s">
        <v>25</v>
      </c>
      <c r="C8" t="s">
        <v>26</v>
      </c>
      <c r="D8">
        <v>40000</v>
      </c>
      <c r="E8">
        <v>40100</v>
      </c>
      <c r="F8">
        <v>75200</v>
      </c>
      <c r="G8">
        <v>40300</v>
      </c>
      <c r="H8">
        <v>40400</v>
      </c>
      <c r="I8">
        <v>75500</v>
      </c>
      <c r="J8">
        <v>40600</v>
      </c>
      <c r="K8">
        <v>40700</v>
      </c>
      <c r="L8">
        <v>75800</v>
      </c>
      <c r="M8">
        <v>40900</v>
      </c>
      <c r="N8">
        <v>41000</v>
      </c>
      <c r="O8">
        <v>76100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18E4A-4A6B-4E41-AB78-C89591BBC5BC}">
  <sheetPr codeName="Sheet3"/>
  <dimension ref="A1:C47"/>
  <sheetViews>
    <sheetView topLeftCell="A30" workbookViewId="0">
      <selection activeCell="A30" sqref="A30:C47"/>
    </sheetView>
  </sheetViews>
  <sheetFormatPr defaultRowHeight="15" x14ac:dyDescent="0.25"/>
  <cols>
    <col min="1" max="1" width="13.140625" bestFit="1" customWidth="1"/>
    <col min="2" max="2" width="19.5703125" bestFit="1" customWidth="1"/>
    <col min="3" max="3" width="13.7109375" bestFit="1" customWidth="1"/>
    <col min="4" max="4" width="11.28515625" bestFit="1" customWidth="1"/>
    <col min="5" max="5" width="6.85546875" bestFit="1" customWidth="1"/>
    <col min="6" max="6" width="5.140625" bestFit="1" customWidth="1"/>
    <col min="7" max="83" width="6.140625" bestFit="1" customWidth="1"/>
    <col min="84" max="96" width="8.28515625" bestFit="1" customWidth="1"/>
    <col min="97" max="97" width="11.28515625" bestFit="1" customWidth="1"/>
  </cols>
  <sheetData>
    <row r="1" spans="1:2" x14ac:dyDescent="0.25">
      <c r="A1" s="6" t="s">
        <v>47</v>
      </c>
      <c r="B1" t="s">
        <v>5</v>
      </c>
    </row>
    <row r="3" spans="1:2" x14ac:dyDescent="0.25">
      <c r="A3" s="6" t="s">
        <v>48</v>
      </c>
      <c r="B3" t="s">
        <v>52</v>
      </c>
    </row>
    <row r="4" spans="1:2" x14ac:dyDescent="0.25">
      <c r="A4" s="7" t="s">
        <v>10</v>
      </c>
      <c r="B4">
        <v>41300</v>
      </c>
    </row>
    <row r="5" spans="1:2" x14ac:dyDescent="0.25">
      <c r="A5" s="7" t="s">
        <v>8</v>
      </c>
      <c r="B5">
        <v>363850</v>
      </c>
    </row>
    <row r="6" spans="1:2" x14ac:dyDescent="0.25">
      <c r="A6" s="7" t="s">
        <v>6</v>
      </c>
      <c r="B6">
        <v>516350</v>
      </c>
    </row>
    <row r="7" spans="1:2" x14ac:dyDescent="0.25">
      <c r="A7" s="7" t="s">
        <v>49</v>
      </c>
      <c r="B7">
        <v>921500</v>
      </c>
    </row>
    <row r="12" spans="1:2" x14ac:dyDescent="0.25">
      <c r="A12" s="6" t="s">
        <v>47</v>
      </c>
      <c r="B12" t="s">
        <v>14</v>
      </c>
    </row>
    <row r="14" spans="1:2" x14ac:dyDescent="0.25">
      <c r="A14" s="6" t="s">
        <v>48</v>
      </c>
      <c r="B14" t="s">
        <v>52</v>
      </c>
    </row>
    <row r="15" spans="1:2" x14ac:dyDescent="0.25">
      <c r="A15" s="7" t="s">
        <v>19</v>
      </c>
      <c r="B15">
        <v>25000</v>
      </c>
    </row>
    <row r="16" spans="1:2" x14ac:dyDescent="0.25">
      <c r="A16" s="7" t="s">
        <v>15</v>
      </c>
      <c r="B16">
        <v>423850</v>
      </c>
    </row>
    <row r="17" spans="1:3" x14ac:dyDescent="0.25">
      <c r="A17" s="7" t="s">
        <v>21</v>
      </c>
      <c r="B17">
        <v>75000</v>
      </c>
    </row>
    <row r="18" spans="1:3" x14ac:dyDescent="0.25">
      <c r="A18" s="7" t="s">
        <v>23</v>
      </c>
      <c r="B18">
        <v>75000</v>
      </c>
    </row>
    <row r="19" spans="1:3" x14ac:dyDescent="0.25">
      <c r="A19" s="7" t="s">
        <v>17</v>
      </c>
      <c r="B19">
        <v>243900</v>
      </c>
    </row>
    <row r="20" spans="1:3" x14ac:dyDescent="0.25">
      <c r="A20" s="7" t="s">
        <v>49</v>
      </c>
      <c r="B20">
        <v>842750</v>
      </c>
    </row>
    <row r="30" spans="1:3" x14ac:dyDescent="0.25">
      <c r="A30" s="6" t="s">
        <v>52</v>
      </c>
      <c r="B30" s="6" t="s">
        <v>53</v>
      </c>
    </row>
    <row r="31" spans="1:3" x14ac:dyDescent="0.25">
      <c r="A31" s="6" t="s">
        <v>48</v>
      </c>
      <c r="B31" t="s">
        <v>31</v>
      </c>
      <c r="C31" t="s">
        <v>27</v>
      </c>
    </row>
    <row r="32" spans="1:3" x14ac:dyDescent="0.25">
      <c r="A32" s="8" t="s">
        <v>54</v>
      </c>
      <c r="B32">
        <v>7010000</v>
      </c>
      <c r="C32">
        <v>10000</v>
      </c>
    </row>
    <row r="33" spans="1:3" x14ac:dyDescent="0.25">
      <c r="A33" s="8" t="s">
        <v>56</v>
      </c>
      <c r="B33">
        <v>7020000</v>
      </c>
      <c r="C33">
        <v>10000</v>
      </c>
    </row>
    <row r="34" spans="1:3" x14ac:dyDescent="0.25">
      <c r="A34" s="8" t="s">
        <v>57</v>
      </c>
      <c r="B34">
        <v>7005100</v>
      </c>
      <c r="C34">
        <v>-14900</v>
      </c>
    </row>
    <row r="35" spans="1:3" x14ac:dyDescent="0.25">
      <c r="A35" s="8" t="s">
        <v>58</v>
      </c>
      <c r="B35">
        <v>7015100</v>
      </c>
      <c r="C35">
        <v>10000</v>
      </c>
    </row>
    <row r="36" spans="1:3" x14ac:dyDescent="0.25">
      <c r="A36" s="8" t="s">
        <v>59</v>
      </c>
      <c r="B36">
        <v>7025100</v>
      </c>
      <c r="C36">
        <v>10000</v>
      </c>
    </row>
    <row r="37" spans="1:3" x14ac:dyDescent="0.25">
      <c r="A37" s="8" t="s">
        <v>60</v>
      </c>
      <c r="B37">
        <v>7010350</v>
      </c>
      <c r="C37">
        <v>-14750</v>
      </c>
    </row>
    <row r="38" spans="1:3" x14ac:dyDescent="0.25">
      <c r="A38" s="8" t="s">
        <v>61</v>
      </c>
      <c r="B38">
        <v>7020350</v>
      </c>
      <c r="C38">
        <v>10000</v>
      </c>
    </row>
    <row r="39" spans="1:3" x14ac:dyDescent="0.25">
      <c r="A39" s="8" t="s">
        <v>62</v>
      </c>
      <c r="B39">
        <v>7030350</v>
      </c>
      <c r="C39">
        <v>10000</v>
      </c>
    </row>
    <row r="40" spans="1:3" x14ac:dyDescent="0.25">
      <c r="A40" s="8" t="s">
        <v>63</v>
      </c>
      <c r="B40">
        <v>7015750</v>
      </c>
      <c r="C40">
        <v>-14600</v>
      </c>
    </row>
    <row r="41" spans="1:3" x14ac:dyDescent="0.25">
      <c r="A41" s="8" t="s">
        <v>64</v>
      </c>
      <c r="B41">
        <v>7025750</v>
      </c>
      <c r="C41">
        <v>10000</v>
      </c>
    </row>
    <row r="42" spans="1:3" x14ac:dyDescent="0.25">
      <c r="A42" s="8" t="s">
        <v>65</v>
      </c>
      <c r="B42">
        <v>7035750</v>
      </c>
      <c r="C42">
        <v>10000</v>
      </c>
    </row>
    <row r="43" spans="1:3" x14ac:dyDescent="0.25">
      <c r="A43" s="8" t="s">
        <v>66</v>
      </c>
      <c r="B43">
        <v>7021300</v>
      </c>
      <c r="C43">
        <v>-14450</v>
      </c>
    </row>
    <row r="44" spans="1:3" x14ac:dyDescent="0.25">
      <c r="A44" s="8" t="s">
        <v>55</v>
      </c>
      <c r="B44">
        <v>7046250</v>
      </c>
      <c r="C44">
        <v>24950</v>
      </c>
    </row>
    <row r="45" spans="1:3" x14ac:dyDescent="0.25">
      <c r="A45" s="8" t="s">
        <v>67</v>
      </c>
      <c r="B45">
        <v>7068750</v>
      </c>
      <c r="C45">
        <v>22500</v>
      </c>
    </row>
    <row r="46" spans="1:3" x14ac:dyDescent="0.25">
      <c r="A46" s="8" t="s">
        <v>68</v>
      </c>
      <c r="B46">
        <v>7091250</v>
      </c>
      <c r="C46">
        <v>22500</v>
      </c>
    </row>
    <row r="47" spans="1:3" x14ac:dyDescent="0.25">
      <c r="A47" s="8" t="s">
        <v>69</v>
      </c>
      <c r="B47">
        <v>7078750</v>
      </c>
      <c r="C47">
        <v>-12500</v>
      </c>
    </row>
  </sheetData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F3007-F26A-4DD2-8D71-68A7910ECFFA}">
  <sheetPr codeName="Sheet4"/>
  <dimension ref="A1:D164"/>
  <sheetViews>
    <sheetView topLeftCell="A145" workbookViewId="0">
      <selection sqref="A1:D164"/>
    </sheetView>
  </sheetViews>
  <sheetFormatPr defaultRowHeight="15" x14ac:dyDescent="0.25"/>
  <cols>
    <col min="1" max="1" width="20.7109375" bestFit="1" customWidth="1"/>
    <col min="2" max="2" width="13.85546875" bestFit="1" customWidth="1"/>
    <col min="3" max="3" width="11.42578125" style="10" bestFit="1" customWidth="1"/>
    <col min="4" max="4" width="8.42578125" bestFit="1" customWidth="1"/>
    <col min="9" max="9" width="13.140625" bestFit="1" customWidth="1"/>
    <col min="10" max="10" width="19.5703125" bestFit="1" customWidth="1"/>
    <col min="11" max="11" width="13.7109375" bestFit="1" customWidth="1"/>
    <col min="12" max="12" width="11.28515625" bestFit="1" customWidth="1"/>
    <col min="13" max="13" width="18.85546875" bestFit="1" customWidth="1"/>
    <col min="14" max="14" width="11.28515625" bestFit="1" customWidth="1"/>
  </cols>
  <sheetData>
    <row r="1" spans="1:4" x14ac:dyDescent="0.25">
      <c r="A1" t="s">
        <v>0</v>
      </c>
      <c r="B1" t="s">
        <v>47</v>
      </c>
      <c r="C1" s="10" t="s">
        <v>50</v>
      </c>
      <c r="D1" t="s">
        <v>51</v>
      </c>
    </row>
    <row r="2" spans="1:4" x14ac:dyDescent="0.25">
      <c r="A2" t="s">
        <v>6</v>
      </c>
      <c r="B2" t="s">
        <v>5</v>
      </c>
      <c r="C2" s="10" t="s">
        <v>54</v>
      </c>
      <c r="D2">
        <v>30000</v>
      </c>
    </row>
    <row r="3" spans="1:4" x14ac:dyDescent="0.25">
      <c r="A3" t="s">
        <v>6</v>
      </c>
      <c r="B3" t="s">
        <v>5</v>
      </c>
      <c r="C3" s="10" t="s">
        <v>56</v>
      </c>
      <c r="D3">
        <v>30050</v>
      </c>
    </row>
    <row r="4" spans="1:4" x14ac:dyDescent="0.25">
      <c r="A4" t="s">
        <v>6</v>
      </c>
      <c r="B4" t="s">
        <v>5</v>
      </c>
      <c r="C4" s="10" t="s">
        <v>57</v>
      </c>
      <c r="D4">
        <v>30100</v>
      </c>
    </row>
    <row r="5" spans="1:4" x14ac:dyDescent="0.25">
      <c r="A5" t="s">
        <v>6</v>
      </c>
      <c r="B5" t="s">
        <v>5</v>
      </c>
      <c r="C5" s="10" t="s">
        <v>58</v>
      </c>
      <c r="D5">
        <v>30150</v>
      </c>
    </row>
    <row r="6" spans="1:4" x14ac:dyDescent="0.25">
      <c r="A6" t="s">
        <v>6</v>
      </c>
      <c r="B6" t="s">
        <v>5</v>
      </c>
      <c r="C6" s="10" t="s">
        <v>59</v>
      </c>
      <c r="D6">
        <v>30200</v>
      </c>
    </row>
    <row r="7" spans="1:4" x14ac:dyDescent="0.25">
      <c r="A7" t="s">
        <v>6</v>
      </c>
      <c r="B7" t="s">
        <v>5</v>
      </c>
      <c r="C7" s="10" t="s">
        <v>60</v>
      </c>
      <c r="D7">
        <v>30250</v>
      </c>
    </row>
    <row r="8" spans="1:4" x14ac:dyDescent="0.25">
      <c r="A8" t="s">
        <v>6</v>
      </c>
      <c r="B8" t="s">
        <v>5</v>
      </c>
      <c r="C8" s="10" t="s">
        <v>61</v>
      </c>
      <c r="D8">
        <v>30300</v>
      </c>
    </row>
    <row r="9" spans="1:4" x14ac:dyDescent="0.25">
      <c r="A9" t="s">
        <v>6</v>
      </c>
      <c r="B9" t="s">
        <v>5</v>
      </c>
      <c r="C9" s="10" t="s">
        <v>62</v>
      </c>
      <c r="D9">
        <v>30350</v>
      </c>
    </row>
    <row r="10" spans="1:4" x14ac:dyDescent="0.25">
      <c r="A10" t="s">
        <v>6</v>
      </c>
      <c r="B10" t="s">
        <v>5</v>
      </c>
      <c r="C10" s="10" t="s">
        <v>63</v>
      </c>
      <c r="D10">
        <v>30400</v>
      </c>
    </row>
    <row r="11" spans="1:4" x14ac:dyDescent="0.25">
      <c r="A11" t="s">
        <v>6</v>
      </c>
      <c r="B11" t="s">
        <v>5</v>
      </c>
      <c r="C11" s="10" t="s">
        <v>64</v>
      </c>
      <c r="D11">
        <v>30450</v>
      </c>
    </row>
    <row r="12" spans="1:4" x14ac:dyDescent="0.25">
      <c r="A12" t="s">
        <v>6</v>
      </c>
      <c r="B12" t="s">
        <v>5</v>
      </c>
      <c r="C12" s="10" t="s">
        <v>65</v>
      </c>
      <c r="D12">
        <v>30500</v>
      </c>
    </row>
    <row r="13" spans="1:4" x14ac:dyDescent="0.25">
      <c r="A13" t="s">
        <v>6</v>
      </c>
      <c r="B13" t="s">
        <v>5</v>
      </c>
      <c r="C13" s="10" t="s">
        <v>66</v>
      </c>
      <c r="D13">
        <v>30550</v>
      </c>
    </row>
    <row r="14" spans="1:4" x14ac:dyDescent="0.25">
      <c r="A14" t="s">
        <v>6</v>
      </c>
      <c r="B14" t="s">
        <v>5</v>
      </c>
      <c r="C14" s="10" t="s">
        <v>55</v>
      </c>
      <c r="D14">
        <v>40550</v>
      </c>
    </row>
    <row r="15" spans="1:4" x14ac:dyDescent="0.25">
      <c r="A15" t="s">
        <v>6</v>
      </c>
      <c r="B15" t="s">
        <v>5</v>
      </c>
      <c r="C15" s="10" t="s">
        <v>67</v>
      </c>
      <c r="D15">
        <v>37500</v>
      </c>
    </row>
    <row r="16" spans="1:4" x14ac:dyDescent="0.25">
      <c r="A16" t="s">
        <v>6</v>
      </c>
      <c r="B16" t="s">
        <v>5</v>
      </c>
      <c r="C16" s="10" t="s">
        <v>68</v>
      </c>
      <c r="D16">
        <v>37500</v>
      </c>
    </row>
    <row r="17" spans="1:4" x14ac:dyDescent="0.25">
      <c r="A17" t="s">
        <v>6</v>
      </c>
      <c r="B17" t="s">
        <v>5</v>
      </c>
      <c r="C17" s="10" t="s">
        <v>69</v>
      </c>
      <c r="D17">
        <v>37500</v>
      </c>
    </row>
    <row r="18" spans="1:4" x14ac:dyDescent="0.25">
      <c r="A18" t="s">
        <v>8</v>
      </c>
      <c r="B18" t="s">
        <v>5</v>
      </c>
      <c r="C18" s="10" t="s">
        <v>54</v>
      </c>
      <c r="D18">
        <v>20000</v>
      </c>
    </row>
    <row r="19" spans="1:4" x14ac:dyDescent="0.25">
      <c r="A19" t="s">
        <v>8</v>
      </c>
      <c r="B19" t="s">
        <v>5</v>
      </c>
      <c r="C19" s="10" t="s">
        <v>56</v>
      </c>
      <c r="D19">
        <v>20050</v>
      </c>
    </row>
    <row r="20" spans="1:4" x14ac:dyDescent="0.25">
      <c r="A20" t="s">
        <v>8</v>
      </c>
      <c r="B20" t="s">
        <v>5</v>
      </c>
      <c r="C20" s="10" t="s">
        <v>57</v>
      </c>
      <c r="D20">
        <v>20100</v>
      </c>
    </row>
    <row r="21" spans="1:4" x14ac:dyDescent="0.25">
      <c r="A21" t="s">
        <v>8</v>
      </c>
      <c r="B21" t="s">
        <v>5</v>
      </c>
      <c r="C21" s="10" t="s">
        <v>58</v>
      </c>
      <c r="D21">
        <v>20150</v>
      </c>
    </row>
    <row r="22" spans="1:4" x14ac:dyDescent="0.25">
      <c r="A22" t="s">
        <v>8</v>
      </c>
      <c r="B22" t="s">
        <v>5</v>
      </c>
      <c r="C22" s="10" t="s">
        <v>59</v>
      </c>
      <c r="D22">
        <v>20200</v>
      </c>
    </row>
    <row r="23" spans="1:4" x14ac:dyDescent="0.25">
      <c r="A23" t="s">
        <v>8</v>
      </c>
      <c r="B23" t="s">
        <v>5</v>
      </c>
      <c r="C23" s="10" t="s">
        <v>60</v>
      </c>
      <c r="D23">
        <v>20250</v>
      </c>
    </row>
    <row r="24" spans="1:4" x14ac:dyDescent="0.25">
      <c r="A24" t="s">
        <v>8</v>
      </c>
      <c r="B24" t="s">
        <v>5</v>
      </c>
      <c r="C24" s="10" t="s">
        <v>61</v>
      </c>
      <c r="D24">
        <v>20300</v>
      </c>
    </row>
    <row r="25" spans="1:4" x14ac:dyDescent="0.25">
      <c r="A25" t="s">
        <v>8</v>
      </c>
      <c r="B25" t="s">
        <v>5</v>
      </c>
      <c r="C25" s="10" t="s">
        <v>62</v>
      </c>
      <c r="D25">
        <v>20350</v>
      </c>
    </row>
    <row r="26" spans="1:4" x14ac:dyDescent="0.25">
      <c r="A26" t="s">
        <v>8</v>
      </c>
      <c r="B26" t="s">
        <v>5</v>
      </c>
      <c r="C26" s="10" t="s">
        <v>63</v>
      </c>
      <c r="D26">
        <v>20400</v>
      </c>
    </row>
    <row r="27" spans="1:4" x14ac:dyDescent="0.25">
      <c r="A27" t="s">
        <v>8</v>
      </c>
      <c r="B27" t="s">
        <v>5</v>
      </c>
      <c r="C27" s="10" t="s">
        <v>64</v>
      </c>
      <c r="D27">
        <v>20450</v>
      </c>
    </row>
    <row r="28" spans="1:4" x14ac:dyDescent="0.25">
      <c r="A28" t="s">
        <v>8</v>
      </c>
      <c r="B28" t="s">
        <v>5</v>
      </c>
      <c r="C28" s="10" t="s">
        <v>65</v>
      </c>
      <c r="D28">
        <v>20500</v>
      </c>
    </row>
    <row r="29" spans="1:4" x14ac:dyDescent="0.25">
      <c r="A29" t="s">
        <v>8</v>
      </c>
      <c r="B29" t="s">
        <v>5</v>
      </c>
      <c r="C29" s="10" t="s">
        <v>66</v>
      </c>
      <c r="D29">
        <v>20550</v>
      </c>
    </row>
    <row r="30" spans="1:4" x14ac:dyDescent="0.25">
      <c r="A30" t="s">
        <v>8</v>
      </c>
      <c r="B30" t="s">
        <v>5</v>
      </c>
      <c r="C30" s="10" t="s">
        <v>55</v>
      </c>
      <c r="D30">
        <v>30550</v>
      </c>
    </row>
    <row r="31" spans="1:4" x14ac:dyDescent="0.25">
      <c r="A31" t="s">
        <v>8</v>
      </c>
      <c r="B31" t="s">
        <v>5</v>
      </c>
      <c r="C31" s="10" t="s">
        <v>67</v>
      </c>
      <c r="D31">
        <v>30000</v>
      </c>
    </row>
    <row r="32" spans="1:4" x14ac:dyDescent="0.25">
      <c r="A32" t="s">
        <v>8</v>
      </c>
      <c r="B32" t="s">
        <v>5</v>
      </c>
      <c r="C32" s="10" t="s">
        <v>68</v>
      </c>
      <c r="D32">
        <v>30000</v>
      </c>
    </row>
    <row r="33" spans="1:4" x14ac:dyDescent="0.25">
      <c r="A33" t="s">
        <v>8</v>
      </c>
      <c r="B33" t="s">
        <v>5</v>
      </c>
      <c r="C33" s="10" t="s">
        <v>69</v>
      </c>
      <c r="D33">
        <v>30000</v>
      </c>
    </row>
    <row r="34" spans="1:4" x14ac:dyDescent="0.25">
      <c r="A34" t="s">
        <v>10</v>
      </c>
      <c r="B34" t="s">
        <v>5</v>
      </c>
      <c r="C34" s="10" t="s">
        <v>57</v>
      </c>
      <c r="D34">
        <v>10100</v>
      </c>
    </row>
    <row r="35" spans="1:4" x14ac:dyDescent="0.25">
      <c r="A35" t="s">
        <v>10</v>
      </c>
      <c r="B35" t="s">
        <v>5</v>
      </c>
      <c r="C35" s="10" t="s">
        <v>60</v>
      </c>
      <c r="D35">
        <v>10250</v>
      </c>
    </row>
    <row r="36" spans="1:4" x14ac:dyDescent="0.25">
      <c r="A36" t="s">
        <v>10</v>
      </c>
      <c r="B36" t="s">
        <v>5</v>
      </c>
      <c r="C36" s="10" t="s">
        <v>63</v>
      </c>
      <c r="D36">
        <v>10400</v>
      </c>
    </row>
    <row r="37" spans="1:4" x14ac:dyDescent="0.25">
      <c r="A37" t="s">
        <v>10</v>
      </c>
      <c r="B37" t="s">
        <v>5</v>
      </c>
      <c r="C37" s="10" t="s">
        <v>66</v>
      </c>
      <c r="D37">
        <v>10550</v>
      </c>
    </row>
    <row r="38" spans="1:4" x14ac:dyDescent="0.25">
      <c r="A38" t="s">
        <v>12</v>
      </c>
      <c r="C38" s="10" t="s">
        <v>54</v>
      </c>
      <c r="D38">
        <v>50000</v>
      </c>
    </row>
    <row r="39" spans="1:4" x14ac:dyDescent="0.25">
      <c r="A39" t="s">
        <v>12</v>
      </c>
      <c r="C39" s="10" t="s">
        <v>56</v>
      </c>
      <c r="D39">
        <v>50100</v>
      </c>
    </row>
    <row r="40" spans="1:4" x14ac:dyDescent="0.25">
      <c r="A40" t="s">
        <v>12</v>
      </c>
      <c r="C40" s="10" t="s">
        <v>57</v>
      </c>
      <c r="D40">
        <v>60300</v>
      </c>
    </row>
    <row r="41" spans="1:4" x14ac:dyDescent="0.25">
      <c r="A41" t="s">
        <v>12</v>
      </c>
      <c r="C41" s="10" t="s">
        <v>58</v>
      </c>
      <c r="D41">
        <v>50300</v>
      </c>
    </row>
    <row r="42" spans="1:4" x14ac:dyDescent="0.25">
      <c r="A42" t="s">
        <v>12</v>
      </c>
      <c r="C42" s="10" t="s">
        <v>59</v>
      </c>
      <c r="D42">
        <v>50400</v>
      </c>
    </row>
    <row r="43" spans="1:4" x14ac:dyDescent="0.25">
      <c r="A43" t="s">
        <v>12</v>
      </c>
      <c r="C43" s="10" t="s">
        <v>60</v>
      </c>
      <c r="D43">
        <v>60750</v>
      </c>
    </row>
    <row r="44" spans="1:4" x14ac:dyDescent="0.25">
      <c r="A44" t="s">
        <v>12</v>
      </c>
      <c r="C44" s="10" t="s">
        <v>61</v>
      </c>
      <c r="D44">
        <v>50600</v>
      </c>
    </row>
    <row r="45" spans="1:4" x14ac:dyDescent="0.25">
      <c r="A45" t="s">
        <v>12</v>
      </c>
      <c r="C45" s="10" t="s">
        <v>62</v>
      </c>
      <c r="D45">
        <v>50700</v>
      </c>
    </row>
    <row r="46" spans="1:4" x14ac:dyDescent="0.25">
      <c r="A46" t="s">
        <v>12</v>
      </c>
      <c r="C46" s="10" t="s">
        <v>63</v>
      </c>
      <c r="D46">
        <v>61200</v>
      </c>
    </row>
    <row r="47" spans="1:4" x14ac:dyDescent="0.25">
      <c r="A47" t="s">
        <v>12</v>
      </c>
      <c r="C47" s="10" t="s">
        <v>64</v>
      </c>
      <c r="D47">
        <v>50900</v>
      </c>
    </row>
    <row r="48" spans="1:4" x14ac:dyDescent="0.25">
      <c r="A48" t="s">
        <v>12</v>
      </c>
      <c r="C48" s="10" t="s">
        <v>65</v>
      </c>
      <c r="D48">
        <v>51000</v>
      </c>
    </row>
    <row r="49" spans="1:4" x14ac:dyDescent="0.25">
      <c r="A49" t="s">
        <v>12</v>
      </c>
      <c r="C49" s="10" t="s">
        <v>66</v>
      </c>
      <c r="D49">
        <v>61650</v>
      </c>
    </row>
    <row r="50" spans="1:4" x14ac:dyDescent="0.25">
      <c r="A50" t="s">
        <v>12</v>
      </c>
      <c r="C50" s="10" t="s">
        <v>55</v>
      </c>
      <c r="D50">
        <v>71100</v>
      </c>
    </row>
    <row r="51" spans="1:4" x14ac:dyDescent="0.25">
      <c r="A51" t="s">
        <v>12</v>
      </c>
      <c r="C51" s="10" t="s">
        <v>67</v>
      </c>
      <c r="D51">
        <v>67500</v>
      </c>
    </row>
    <row r="52" spans="1:4" x14ac:dyDescent="0.25">
      <c r="A52" t="s">
        <v>12</v>
      </c>
      <c r="C52" s="10" t="s">
        <v>68</v>
      </c>
      <c r="D52">
        <v>67500</v>
      </c>
    </row>
    <row r="53" spans="1:4" x14ac:dyDescent="0.25">
      <c r="A53" t="s">
        <v>12</v>
      </c>
      <c r="C53" s="10" t="s">
        <v>69</v>
      </c>
      <c r="D53">
        <v>67500</v>
      </c>
    </row>
    <row r="54" spans="1:4" x14ac:dyDescent="0.25">
      <c r="A54" t="s">
        <v>15</v>
      </c>
      <c r="B54" t="s">
        <v>14</v>
      </c>
      <c r="C54" s="10" t="s">
        <v>54</v>
      </c>
      <c r="D54">
        <v>25000</v>
      </c>
    </row>
    <row r="55" spans="1:4" x14ac:dyDescent="0.25">
      <c r="A55" t="s">
        <v>15</v>
      </c>
      <c r="B55" t="s">
        <v>14</v>
      </c>
      <c r="C55" s="10" t="s">
        <v>56</v>
      </c>
      <c r="D55">
        <v>25050</v>
      </c>
    </row>
    <row r="56" spans="1:4" x14ac:dyDescent="0.25">
      <c r="A56" t="s">
        <v>15</v>
      </c>
      <c r="B56" t="s">
        <v>14</v>
      </c>
      <c r="C56" s="10" t="s">
        <v>57</v>
      </c>
      <c r="D56">
        <v>25100</v>
      </c>
    </row>
    <row r="57" spans="1:4" x14ac:dyDescent="0.25">
      <c r="A57" t="s">
        <v>15</v>
      </c>
      <c r="B57" t="s">
        <v>14</v>
      </c>
      <c r="C57" s="10" t="s">
        <v>58</v>
      </c>
      <c r="D57">
        <v>25150</v>
      </c>
    </row>
    <row r="58" spans="1:4" x14ac:dyDescent="0.25">
      <c r="A58" t="s">
        <v>15</v>
      </c>
      <c r="B58" t="s">
        <v>14</v>
      </c>
      <c r="C58" s="10" t="s">
        <v>59</v>
      </c>
      <c r="D58">
        <v>25200</v>
      </c>
    </row>
    <row r="59" spans="1:4" x14ac:dyDescent="0.25">
      <c r="A59" t="s">
        <v>15</v>
      </c>
      <c r="B59" t="s">
        <v>14</v>
      </c>
      <c r="C59" s="10" t="s">
        <v>60</v>
      </c>
      <c r="D59">
        <v>25250</v>
      </c>
    </row>
    <row r="60" spans="1:4" x14ac:dyDescent="0.25">
      <c r="A60" t="s">
        <v>15</v>
      </c>
      <c r="B60" t="s">
        <v>14</v>
      </c>
      <c r="C60" s="10" t="s">
        <v>61</v>
      </c>
      <c r="D60">
        <v>25300</v>
      </c>
    </row>
    <row r="61" spans="1:4" x14ac:dyDescent="0.25">
      <c r="A61" t="s">
        <v>15</v>
      </c>
      <c r="B61" t="s">
        <v>14</v>
      </c>
      <c r="C61" s="10" t="s">
        <v>62</v>
      </c>
      <c r="D61">
        <v>25350</v>
      </c>
    </row>
    <row r="62" spans="1:4" x14ac:dyDescent="0.25">
      <c r="A62" t="s">
        <v>15</v>
      </c>
      <c r="B62" t="s">
        <v>14</v>
      </c>
      <c r="C62" s="10" t="s">
        <v>63</v>
      </c>
      <c r="D62">
        <v>25400</v>
      </c>
    </row>
    <row r="63" spans="1:4" x14ac:dyDescent="0.25">
      <c r="A63" t="s">
        <v>15</v>
      </c>
      <c r="B63" t="s">
        <v>14</v>
      </c>
      <c r="C63" s="10" t="s">
        <v>64</v>
      </c>
      <c r="D63">
        <v>25450</v>
      </c>
    </row>
    <row r="64" spans="1:4" x14ac:dyDescent="0.25">
      <c r="A64" t="s">
        <v>15</v>
      </c>
      <c r="B64" t="s">
        <v>14</v>
      </c>
      <c r="C64" s="10" t="s">
        <v>65</v>
      </c>
      <c r="D64">
        <v>25500</v>
      </c>
    </row>
    <row r="65" spans="1:4" x14ac:dyDescent="0.25">
      <c r="A65" t="s">
        <v>15</v>
      </c>
      <c r="B65" t="s">
        <v>14</v>
      </c>
      <c r="C65" s="10" t="s">
        <v>66</v>
      </c>
      <c r="D65">
        <v>25550</v>
      </c>
    </row>
    <row r="66" spans="1:4" x14ac:dyDescent="0.25">
      <c r="A66" t="s">
        <v>15</v>
      </c>
      <c r="B66" t="s">
        <v>14</v>
      </c>
      <c r="C66" s="10" t="s">
        <v>55</v>
      </c>
      <c r="D66">
        <v>30550</v>
      </c>
    </row>
    <row r="67" spans="1:4" x14ac:dyDescent="0.25">
      <c r="A67" t="s">
        <v>15</v>
      </c>
      <c r="B67" t="s">
        <v>14</v>
      </c>
      <c r="C67" s="10" t="s">
        <v>67</v>
      </c>
      <c r="D67">
        <v>30000</v>
      </c>
    </row>
    <row r="68" spans="1:4" x14ac:dyDescent="0.25">
      <c r="A68" t="s">
        <v>15</v>
      </c>
      <c r="B68" t="s">
        <v>14</v>
      </c>
      <c r="C68" s="10" t="s">
        <v>68</v>
      </c>
      <c r="D68">
        <v>30000</v>
      </c>
    </row>
    <row r="69" spans="1:4" x14ac:dyDescent="0.25">
      <c r="A69" t="s">
        <v>15</v>
      </c>
      <c r="B69" t="s">
        <v>14</v>
      </c>
      <c r="C69" s="10" t="s">
        <v>69</v>
      </c>
      <c r="D69">
        <v>30000</v>
      </c>
    </row>
    <row r="70" spans="1:4" x14ac:dyDescent="0.25">
      <c r="A70" t="s">
        <v>17</v>
      </c>
      <c r="B70" t="s">
        <v>14</v>
      </c>
      <c r="C70" s="10" t="s">
        <v>54</v>
      </c>
      <c r="D70">
        <v>15000</v>
      </c>
    </row>
    <row r="71" spans="1:4" x14ac:dyDescent="0.25">
      <c r="A71" t="s">
        <v>17</v>
      </c>
      <c r="B71" t="s">
        <v>14</v>
      </c>
      <c r="C71" s="10" t="s">
        <v>56</v>
      </c>
      <c r="D71">
        <v>15050</v>
      </c>
    </row>
    <row r="72" spans="1:4" x14ac:dyDescent="0.25">
      <c r="A72" t="s">
        <v>17</v>
      </c>
      <c r="B72" t="s">
        <v>14</v>
      </c>
      <c r="C72" s="10" t="s">
        <v>57</v>
      </c>
      <c r="D72">
        <v>15100</v>
      </c>
    </row>
    <row r="73" spans="1:4" x14ac:dyDescent="0.25">
      <c r="A73" t="s">
        <v>17</v>
      </c>
      <c r="B73" t="s">
        <v>14</v>
      </c>
      <c r="C73" s="10" t="s">
        <v>58</v>
      </c>
      <c r="D73">
        <v>15150</v>
      </c>
    </row>
    <row r="74" spans="1:4" x14ac:dyDescent="0.25">
      <c r="A74" t="s">
        <v>17</v>
      </c>
      <c r="B74" t="s">
        <v>14</v>
      </c>
      <c r="C74" s="10" t="s">
        <v>59</v>
      </c>
      <c r="D74">
        <v>15200</v>
      </c>
    </row>
    <row r="75" spans="1:4" x14ac:dyDescent="0.25">
      <c r="A75" t="s">
        <v>17</v>
      </c>
      <c r="B75" t="s">
        <v>14</v>
      </c>
      <c r="C75" s="10" t="s">
        <v>60</v>
      </c>
      <c r="D75">
        <v>15250</v>
      </c>
    </row>
    <row r="76" spans="1:4" x14ac:dyDescent="0.25">
      <c r="A76" t="s">
        <v>17</v>
      </c>
      <c r="B76" t="s">
        <v>14</v>
      </c>
      <c r="C76" s="10" t="s">
        <v>61</v>
      </c>
      <c r="D76">
        <v>15300</v>
      </c>
    </row>
    <row r="77" spans="1:4" x14ac:dyDescent="0.25">
      <c r="A77" t="s">
        <v>17</v>
      </c>
      <c r="B77" t="s">
        <v>14</v>
      </c>
      <c r="C77" s="10" t="s">
        <v>62</v>
      </c>
      <c r="D77">
        <v>15350</v>
      </c>
    </row>
    <row r="78" spans="1:4" x14ac:dyDescent="0.25">
      <c r="A78" t="s">
        <v>17</v>
      </c>
      <c r="B78" t="s">
        <v>14</v>
      </c>
      <c r="C78" s="10" t="s">
        <v>63</v>
      </c>
      <c r="D78">
        <v>15400</v>
      </c>
    </row>
    <row r="79" spans="1:4" x14ac:dyDescent="0.25">
      <c r="A79" t="s">
        <v>17</v>
      </c>
      <c r="B79" t="s">
        <v>14</v>
      </c>
      <c r="C79" s="10" t="s">
        <v>64</v>
      </c>
      <c r="D79">
        <v>15450</v>
      </c>
    </row>
    <row r="80" spans="1:4" x14ac:dyDescent="0.25">
      <c r="A80" t="s">
        <v>17</v>
      </c>
      <c r="B80" t="s">
        <v>14</v>
      </c>
      <c r="C80" s="10" t="s">
        <v>65</v>
      </c>
      <c r="D80">
        <v>15500</v>
      </c>
    </row>
    <row r="81" spans="1:4" x14ac:dyDescent="0.25">
      <c r="A81" t="s">
        <v>17</v>
      </c>
      <c r="B81" t="s">
        <v>14</v>
      </c>
      <c r="C81" s="10" t="s">
        <v>66</v>
      </c>
      <c r="D81">
        <v>15550</v>
      </c>
    </row>
    <row r="82" spans="1:4" x14ac:dyDescent="0.25">
      <c r="A82" t="s">
        <v>17</v>
      </c>
      <c r="B82" t="s">
        <v>14</v>
      </c>
      <c r="C82" s="10" t="s">
        <v>55</v>
      </c>
      <c r="D82">
        <v>15600</v>
      </c>
    </row>
    <row r="83" spans="1:4" x14ac:dyDescent="0.25">
      <c r="A83" t="s">
        <v>17</v>
      </c>
      <c r="B83" t="s">
        <v>14</v>
      </c>
      <c r="C83" s="10" t="s">
        <v>67</v>
      </c>
      <c r="D83">
        <v>15000</v>
      </c>
    </row>
    <row r="84" spans="1:4" x14ac:dyDescent="0.25">
      <c r="A84" t="s">
        <v>17</v>
      </c>
      <c r="B84" t="s">
        <v>14</v>
      </c>
      <c r="C84" s="10" t="s">
        <v>68</v>
      </c>
      <c r="D84">
        <v>15000</v>
      </c>
    </row>
    <row r="85" spans="1:4" x14ac:dyDescent="0.25">
      <c r="A85" t="s">
        <v>17</v>
      </c>
      <c r="B85" t="s">
        <v>14</v>
      </c>
      <c r="C85" s="10" t="s">
        <v>69</v>
      </c>
      <c r="D85">
        <v>15000</v>
      </c>
    </row>
    <row r="86" spans="1:4" x14ac:dyDescent="0.25">
      <c r="A86" t="s">
        <v>19</v>
      </c>
      <c r="B86" t="s">
        <v>14</v>
      </c>
      <c r="C86" s="10" t="s">
        <v>57</v>
      </c>
      <c r="D86">
        <v>5000</v>
      </c>
    </row>
    <row r="87" spans="1:4" x14ac:dyDescent="0.25">
      <c r="A87" t="s">
        <v>19</v>
      </c>
      <c r="B87" t="s">
        <v>14</v>
      </c>
      <c r="C87" s="10" t="s">
        <v>60</v>
      </c>
      <c r="D87">
        <v>5000</v>
      </c>
    </row>
    <row r="88" spans="1:4" x14ac:dyDescent="0.25">
      <c r="A88" t="s">
        <v>19</v>
      </c>
      <c r="B88" t="s">
        <v>14</v>
      </c>
      <c r="C88" s="10" t="s">
        <v>63</v>
      </c>
      <c r="D88">
        <v>5000</v>
      </c>
    </row>
    <row r="89" spans="1:4" x14ac:dyDescent="0.25">
      <c r="A89" t="s">
        <v>19</v>
      </c>
      <c r="B89" t="s">
        <v>14</v>
      </c>
      <c r="C89" s="10" t="s">
        <v>66</v>
      </c>
      <c r="D89">
        <v>5000</v>
      </c>
    </row>
    <row r="90" spans="1:4" x14ac:dyDescent="0.25">
      <c r="A90" t="s">
        <v>19</v>
      </c>
      <c r="B90" t="s">
        <v>14</v>
      </c>
      <c r="C90" s="10" t="s">
        <v>69</v>
      </c>
      <c r="D90">
        <v>5000</v>
      </c>
    </row>
    <row r="91" spans="1:4" x14ac:dyDescent="0.25">
      <c r="A91" t="s">
        <v>21</v>
      </c>
      <c r="B91" t="s">
        <v>14</v>
      </c>
      <c r="C91" s="10" t="s">
        <v>57</v>
      </c>
      <c r="D91">
        <v>15000</v>
      </c>
    </row>
    <row r="92" spans="1:4" x14ac:dyDescent="0.25">
      <c r="A92" t="s">
        <v>21</v>
      </c>
      <c r="B92" t="s">
        <v>14</v>
      </c>
      <c r="C92" s="10" t="s">
        <v>60</v>
      </c>
      <c r="D92">
        <v>15000</v>
      </c>
    </row>
    <row r="93" spans="1:4" x14ac:dyDescent="0.25">
      <c r="A93" t="s">
        <v>21</v>
      </c>
      <c r="B93" t="s">
        <v>14</v>
      </c>
      <c r="C93" s="10" t="s">
        <v>63</v>
      </c>
      <c r="D93">
        <v>15000</v>
      </c>
    </row>
    <row r="94" spans="1:4" x14ac:dyDescent="0.25">
      <c r="A94" t="s">
        <v>21</v>
      </c>
      <c r="B94" t="s">
        <v>14</v>
      </c>
      <c r="C94" s="10" t="s">
        <v>66</v>
      </c>
      <c r="D94">
        <v>15000</v>
      </c>
    </row>
    <row r="95" spans="1:4" x14ac:dyDescent="0.25">
      <c r="A95" t="s">
        <v>21</v>
      </c>
      <c r="B95" t="s">
        <v>14</v>
      </c>
      <c r="C95" s="10" t="s">
        <v>69</v>
      </c>
      <c r="D95">
        <v>15000</v>
      </c>
    </row>
    <row r="96" spans="1:4" x14ac:dyDescent="0.25">
      <c r="A96" t="s">
        <v>23</v>
      </c>
      <c r="B96" t="s">
        <v>14</v>
      </c>
      <c r="C96" s="10" t="s">
        <v>57</v>
      </c>
      <c r="D96">
        <v>15000</v>
      </c>
    </row>
    <row r="97" spans="1:4" x14ac:dyDescent="0.25">
      <c r="A97" t="s">
        <v>23</v>
      </c>
      <c r="B97" t="s">
        <v>14</v>
      </c>
      <c r="C97" s="10" t="s">
        <v>60</v>
      </c>
      <c r="D97">
        <v>15000</v>
      </c>
    </row>
    <row r="98" spans="1:4" x14ac:dyDescent="0.25">
      <c r="A98" t="s">
        <v>23</v>
      </c>
      <c r="B98" t="s">
        <v>14</v>
      </c>
      <c r="C98" s="10" t="s">
        <v>63</v>
      </c>
      <c r="D98">
        <v>15000</v>
      </c>
    </row>
    <row r="99" spans="1:4" x14ac:dyDescent="0.25">
      <c r="A99" t="s">
        <v>23</v>
      </c>
      <c r="B99" t="s">
        <v>14</v>
      </c>
      <c r="C99" s="10" t="s">
        <v>66</v>
      </c>
      <c r="D99">
        <v>15000</v>
      </c>
    </row>
    <row r="100" spans="1:4" x14ac:dyDescent="0.25">
      <c r="A100" t="s">
        <v>23</v>
      </c>
      <c r="B100" t="s">
        <v>14</v>
      </c>
      <c r="C100" s="10" t="s">
        <v>69</v>
      </c>
      <c r="D100">
        <v>15000</v>
      </c>
    </row>
    <row r="101" spans="1:4" x14ac:dyDescent="0.25">
      <c r="A101" t="s">
        <v>25</v>
      </c>
      <c r="C101" s="10" t="s">
        <v>54</v>
      </c>
      <c r="D101">
        <v>40000</v>
      </c>
    </row>
    <row r="102" spans="1:4" x14ac:dyDescent="0.25">
      <c r="A102" t="s">
        <v>25</v>
      </c>
      <c r="C102" s="10" t="s">
        <v>56</v>
      </c>
      <c r="D102">
        <v>40100</v>
      </c>
    </row>
    <row r="103" spans="1:4" x14ac:dyDescent="0.25">
      <c r="A103" t="s">
        <v>25</v>
      </c>
      <c r="C103" s="10" t="s">
        <v>57</v>
      </c>
      <c r="D103">
        <v>75200</v>
      </c>
    </row>
    <row r="104" spans="1:4" x14ac:dyDescent="0.25">
      <c r="A104" t="s">
        <v>25</v>
      </c>
      <c r="C104" s="10" t="s">
        <v>58</v>
      </c>
      <c r="D104">
        <v>40300</v>
      </c>
    </row>
    <row r="105" spans="1:4" x14ac:dyDescent="0.25">
      <c r="A105" t="s">
        <v>25</v>
      </c>
      <c r="C105" s="10" t="s">
        <v>59</v>
      </c>
      <c r="D105">
        <v>40400</v>
      </c>
    </row>
    <row r="106" spans="1:4" x14ac:dyDescent="0.25">
      <c r="A106" t="s">
        <v>25</v>
      </c>
      <c r="C106" s="10" t="s">
        <v>60</v>
      </c>
      <c r="D106">
        <v>75500</v>
      </c>
    </row>
    <row r="107" spans="1:4" x14ac:dyDescent="0.25">
      <c r="A107" t="s">
        <v>25</v>
      </c>
      <c r="C107" s="10" t="s">
        <v>61</v>
      </c>
      <c r="D107">
        <v>40600</v>
      </c>
    </row>
    <row r="108" spans="1:4" x14ac:dyDescent="0.25">
      <c r="A108" t="s">
        <v>25</v>
      </c>
      <c r="C108" s="10" t="s">
        <v>62</v>
      </c>
      <c r="D108">
        <v>40700</v>
      </c>
    </row>
    <row r="109" spans="1:4" x14ac:dyDescent="0.25">
      <c r="A109" t="s">
        <v>25</v>
      </c>
      <c r="C109" s="10" t="s">
        <v>63</v>
      </c>
      <c r="D109">
        <v>75800</v>
      </c>
    </row>
    <row r="110" spans="1:4" x14ac:dyDescent="0.25">
      <c r="A110" t="s">
        <v>25</v>
      </c>
      <c r="C110" s="10" t="s">
        <v>64</v>
      </c>
      <c r="D110">
        <v>40900</v>
      </c>
    </row>
    <row r="111" spans="1:4" x14ac:dyDescent="0.25">
      <c r="A111" t="s">
        <v>25</v>
      </c>
      <c r="C111" s="10" t="s">
        <v>65</v>
      </c>
      <c r="D111">
        <v>41000</v>
      </c>
    </row>
    <row r="112" spans="1:4" x14ac:dyDescent="0.25">
      <c r="A112" t="s">
        <v>25</v>
      </c>
      <c r="C112" s="10" t="s">
        <v>66</v>
      </c>
      <c r="D112">
        <v>76100</v>
      </c>
    </row>
    <row r="113" spans="1:4" x14ac:dyDescent="0.25">
      <c r="A113" t="s">
        <v>25</v>
      </c>
      <c r="C113" s="10" t="s">
        <v>55</v>
      </c>
      <c r="D113">
        <v>46150</v>
      </c>
    </row>
    <row r="114" spans="1:4" x14ac:dyDescent="0.25">
      <c r="A114" t="s">
        <v>25</v>
      </c>
      <c r="C114" s="10" t="s">
        <v>67</v>
      </c>
      <c r="D114">
        <v>45000</v>
      </c>
    </row>
    <row r="115" spans="1:4" x14ac:dyDescent="0.25">
      <c r="A115" t="s">
        <v>25</v>
      </c>
      <c r="C115" s="10" t="s">
        <v>68</v>
      </c>
      <c r="D115">
        <v>45000</v>
      </c>
    </row>
    <row r="116" spans="1:4" x14ac:dyDescent="0.25">
      <c r="A116" t="s">
        <v>25</v>
      </c>
      <c r="C116" s="10" t="s">
        <v>69</v>
      </c>
      <c r="D116">
        <v>80000</v>
      </c>
    </row>
    <row r="117" spans="1:4" x14ac:dyDescent="0.25">
      <c r="A117" t="s">
        <v>27</v>
      </c>
      <c r="C117" s="10" t="s">
        <v>54</v>
      </c>
      <c r="D117">
        <v>10000</v>
      </c>
    </row>
    <row r="118" spans="1:4" x14ac:dyDescent="0.25">
      <c r="A118" t="s">
        <v>27</v>
      </c>
      <c r="C118" s="10" t="s">
        <v>56</v>
      </c>
      <c r="D118">
        <v>10000</v>
      </c>
    </row>
    <row r="119" spans="1:4" x14ac:dyDescent="0.25">
      <c r="A119" t="s">
        <v>27</v>
      </c>
      <c r="C119" s="10" t="s">
        <v>57</v>
      </c>
      <c r="D119">
        <v>-14900</v>
      </c>
    </row>
    <row r="120" spans="1:4" x14ac:dyDescent="0.25">
      <c r="A120" t="s">
        <v>27</v>
      </c>
      <c r="C120" s="10" t="s">
        <v>58</v>
      </c>
      <c r="D120">
        <v>10000</v>
      </c>
    </row>
    <row r="121" spans="1:4" x14ac:dyDescent="0.25">
      <c r="A121" t="s">
        <v>27</v>
      </c>
      <c r="C121" s="10" t="s">
        <v>59</v>
      </c>
      <c r="D121">
        <v>10000</v>
      </c>
    </row>
    <row r="122" spans="1:4" x14ac:dyDescent="0.25">
      <c r="A122" t="s">
        <v>27</v>
      </c>
      <c r="C122" s="10" t="s">
        <v>60</v>
      </c>
      <c r="D122">
        <v>-14750</v>
      </c>
    </row>
    <row r="123" spans="1:4" x14ac:dyDescent="0.25">
      <c r="A123" t="s">
        <v>27</v>
      </c>
      <c r="C123" s="10" t="s">
        <v>61</v>
      </c>
      <c r="D123">
        <v>10000</v>
      </c>
    </row>
    <row r="124" spans="1:4" x14ac:dyDescent="0.25">
      <c r="A124" t="s">
        <v>27</v>
      </c>
      <c r="C124" s="10" t="s">
        <v>62</v>
      </c>
      <c r="D124">
        <v>10000</v>
      </c>
    </row>
    <row r="125" spans="1:4" x14ac:dyDescent="0.25">
      <c r="A125" t="s">
        <v>27</v>
      </c>
      <c r="C125" s="10" t="s">
        <v>63</v>
      </c>
      <c r="D125">
        <v>-14600</v>
      </c>
    </row>
    <row r="126" spans="1:4" x14ac:dyDescent="0.25">
      <c r="A126" t="s">
        <v>27</v>
      </c>
      <c r="C126" s="10" t="s">
        <v>64</v>
      </c>
      <c r="D126">
        <v>10000</v>
      </c>
    </row>
    <row r="127" spans="1:4" x14ac:dyDescent="0.25">
      <c r="A127" t="s">
        <v>27</v>
      </c>
      <c r="C127" s="10" t="s">
        <v>65</v>
      </c>
      <c r="D127">
        <v>10000</v>
      </c>
    </row>
    <row r="128" spans="1:4" x14ac:dyDescent="0.25">
      <c r="A128" t="s">
        <v>27</v>
      </c>
      <c r="C128" s="10" t="s">
        <v>66</v>
      </c>
      <c r="D128">
        <v>-14450</v>
      </c>
    </row>
    <row r="129" spans="1:4" x14ac:dyDescent="0.25">
      <c r="A129" t="s">
        <v>27</v>
      </c>
      <c r="C129" s="10" t="s">
        <v>55</v>
      </c>
      <c r="D129">
        <v>24950</v>
      </c>
    </row>
    <row r="130" spans="1:4" x14ac:dyDescent="0.25">
      <c r="A130" t="s">
        <v>27</v>
      </c>
      <c r="C130" s="10" t="s">
        <v>67</v>
      </c>
      <c r="D130">
        <v>22500</v>
      </c>
    </row>
    <row r="131" spans="1:4" x14ac:dyDescent="0.25">
      <c r="A131" t="s">
        <v>27</v>
      </c>
      <c r="C131" s="10" t="s">
        <v>68</v>
      </c>
      <c r="D131">
        <v>22500</v>
      </c>
    </row>
    <row r="132" spans="1:4" x14ac:dyDescent="0.25">
      <c r="A132" t="s">
        <v>27</v>
      </c>
      <c r="C132" s="10" t="s">
        <v>69</v>
      </c>
      <c r="D132">
        <v>-12500</v>
      </c>
    </row>
    <row r="133" spans="1:4" x14ac:dyDescent="0.25">
      <c r="A133" t="s">
        <v>29</v>
      </c>
      <c r="C133" s="10" t="s">
        <v>54</v>
      </c>
      <c r="D133">
        <v>7000000</v>
      </c>
    </row>
    <row r="134" spans="1:4" x14ac:dyDescent="0.25">
      <c r="A134" t="s">
        <v>29</v>
      </c>
      <c r="C134" s="10" t="s">
        <v>56</v>
      </c>
      <c r="D134">
        <v>7010000</v>
      </c>
    </row>
    <row r="135" spans="1:4" x14ac:dyDescent="0.25">
      <c r="A135" t="s">
        <v>29</v>
      </c>
      <c r="C135" s="10" t="s">
        <v>57</v>
      </c>
      <c r="D135">
        <v>7020000</v>
      </c>
    </row>
    <row r="136" spans="1:4" x14ac:dyDescent="0.25">
      <c r="A136" t="s">
        <v>29</v>
      </c>
      <c r="C136" s="10" t="s">
        <v>58</v>
      </c>
      <c r="D136">
        <v>7005100</v>
      </c>
    </row>
    <row r="137" spans="1:4" x14ac:dyDescent="0.25">
      <c r="A137" t="s">
        <v>29</v>
      </c>
      <c r="C137" s="10" t="s">
        <v>59</v>
      </c>
      <c r="D137">
        <v>7015100</v>
      </c>
    </row>
    <row r="138" spans="1:4" x14ac:dyDescent="0.25">
      <c r="A138" t="s">
        <v>29</v>
      </c>
      <c r="C138" s="10" t="s">
        <v>60</v>
      </c>
      <c r="D138">
        <v>7025100</v>
      </c>
    </row>
    <row r="139" spans="1:4" x14ac:dyDescent="0.25">
      <c r="A139" t="s">
        <v>29</v>
      </c>
      <c r="C139" s="10" t="s">
        <v>61</v>
      </c>
      <c r="D139">
        <v>7010350</v>
      </c>
    </row>
    <row r="140" spans="1:4" x14ac:dyDescent="0.25">
      <c r="A140" t="s">
        <v>29</v>
      </c>
      <c r="C140" s="10" t="s">
        <v>62</v>
      </c>
      <c r="D140">
        <v>7020350</v>
      </c>
    </row>
    <row r="141" spans="1:4" x14ac:dyDescent="0.25">
      <c r="A141" t="s">
        <v>29</v>
      </c>
      <c r="C141" s="10" t="s">
        <v>63</v>
      </c>
      <c r="D141">
        <v>7030350</v>
      </c>
    </row>
    <row r="142" spans="1:4" x14ac:dyDescent="0.25">
      <c r="A142" t="s">
        <v>29</v>
      </c>
      <c r="C142" s="10" t="s">
        <v>64</v>
      </c>
      <c r="D142">
        <v>7015750</v>
      </c>
    </row>
    <row r="143" spans="1:4" x14ac:dyDescent="0.25">
      <c r="A143" t="s">
        <v>29</v>
      </c>
      <c r="C143" s="10" t="s">
        <v>65</v>
      </c>
      <c r="D143">
        <v>7025750</v>
      </c>
    </row>
    <row r="144" spans="1:4" x14ac:dyDescent="0.25">
      <c r="A144" t="s">
        <v>29</v>
      </c>
      <c r="C144" s="10" t="s">
        <v>66</v>
      </c>
      <c r="D144">
        <v>7035750</v>
      </c>
    </row>
    <row r="145" spans="1:4" x14ac:dyDescent="0.25">
      <c r="A145" t="s">
        <v>29</v>
      </c>
      <c r="C145" s="10" t="s">
        <v>55</v>
      </c>
      <c r="D145">
        <v>7021300</v>
      </c>
    </row>
    <row r="146" spans="1:4" x14ac:dyDescent="0.25">
      <c r="A146" t="s">
        <v>29</v>
      </c>
      <c r="C146" s="10" t="s">
        <v>67</v>
      </c>
      <c r="D146">
        <v>7046250</v>
      </c>
    </row>
    <row r="147" spans="1:4" x14ac:dyDescent="0.25">
      <c r="A147" t="s">
        <v>29</v>
      </c>
      <c r="C147" s="10" t="s">
        <v>68</v>
      </c>
      <c r="D147">
        <v>7068750</v>
      </c>
    </row>
    <row r="148" spans="1:4" x14ac:dyDescent="0.25">
      <c r="A148" t="s">
        <v>29</v>
      </c>
      <c r="C148" s="10" t="s">
        <v>69</v>
      </c>
      <c r="D148">
        <v>7091250</v>
      </c>
    </row>
    <row r="149" spans="1:4" x14ac:dyDescent="0.25">
      <c r="A149" t="s">
        <v>31</v>
      </c>
      <c r="C149" s="10" t="s">
        <v>54</v>
      </c>
      <c r="D149">
        <v>7010000</v>
      </c>
    </row>
    <row r="150" spans="1:4" x14ac:dyDescent="0.25">
      <c r="A150" t="s">
        <v>31</v>
      </c>
      <c r="C150" s="10" t="s">
        <v>56</v>
      </c>
      <c r="D150">
        <v>7020000</v>
      </c>
    </row>
    <row r="151" spans="1:4" x14ac:dyDescent="0.25">
      <c r="A151" t="s">
        <v>31</v>
      </c>
      <c r="C151" s="10" t="s">
        <v>57</v>
      </c>
      <c r="D151">
        <v>7005100</v>
      </c>
    </row>
    <row r="152" spans="1:4" x14ac:dyDescent="0.25">
      <c r="A152" t="s">
        <v>31</v>
      </c>
      <c r="C152" s="10" t="s">
        <v>58</v>
      </c>
      <c r="D152">
        <v>7015100</v>
      </c>
    </row>
    <row r="153" spans="1:4" x14ac:dyDescent="0.25">
      <c r="A153" t="s">
        <v>31</v>
      </c>
      <c r="C153" s="10" t="s">
        <v>59</v>
      </c>
      <c r="D153">
        <v>7025100</v>
      </c>
    </row>
    <row r="154" spans="1:4" x14ac:dyDescent="0.25">
      <c r="A154" t="s">
        <v>31</v>
      </c>
      <c r="C154" s="10" t="s">
        <v>60</v>
      </c>
      <c r="D154">
        <v>7010350</v>
      </c>
    </row>
    <row r="155" spans="1:4" x14ac:dyDescent="0.25">
      <c r="A155" t="s">
        <v>31</v>
      </c>
      <c r="C155" s="10" t="s">
        <v>61</v>
      </c>
      <c r="D155">
        <v>7020350</v>
      </c>
    </row>
    <row r="156" spans="1:4" x14ac:dyDescent="0.25">
      <c r="A156" t="s">
        <v>31</v>
      </c>
      <c r="C156" s="10" t="s">
        <v>62</v>
      </c>
      <c r="D156">
        <v>7030350</v>
      </c>
    </row>
    <row r="157" spans="1:4" x14ac:dyDescent="0.25">
      <c r="A157" t="s">
        <v>31</v>
      </c>
      <c r="C157" s="10" t="s">
        <v>63</v>
      </c>
      <c r="D157">
        <v>7015750</v>
      </c>
    </row>
    <row r="158" spans="1:4" x14ac:dyDescent="0.25">
      <c r="A158" t="s">
        <v>31</v>
      </c>
      <c r="C158" s="10" t="s">
        <v>64</v>
      </c>
      <c r="D158">
        <v>7025750</v>
      </c>
    </row>
    <row r="159" spans="1:4" x14ac:dyDescent="0.25">
      <c r="A159" t="s">
        <v>31</v>
      </c>
      <c r="C159" s="10" t="s">
        <v>65</v>
      </c>
      <c r="D159">
        <v>7035750</v>
      </c>
    </row>
    <row r="160" spans="1:4" x14ac:dyDescent="0.25">
      <c r="A160" t="s">
        <v>31</v>
      </c>
      <c r="C160" s="10" t="s">
        <v>66</v>
      </c>
      <c r="D160">
        <v>7021300</v>
      </c>
    </row>
    <row r="161" spans="1:4" x14ac:dyDescent="0.25">
      <c r="A161" t="s">
        <v>31</v>
      </c>
      <c r="C161" s="10" t="s">
        <v>55</v>
      </c>
      <c r="D161">
        <v>7046250</v>
      </c>
    </row>
    <row r="162" spans="1:4" x14ac:dyDescent="0.25">
      <c r="A162" t="s">
        <v>31</v>
      </c>
      <c r="C162" s="10" t="s">
        <v>67</v>
      </c>
      <c r="D162">
        <v>7068750</v>
      </c>
    </row>
    <row r="163" spans="1:4" x14ac:dyDescent="0.25">
      <c r="A163" t="s">
        <v>31</v>
      </c>
      <c r="C163" s="10" t="s">
        <v>68</v>
      </c>
      <c r="D163">
        <v>7091250</v>
      </c>
    </row>
    <row r="164" spans="1:4" x14ac:dyDescent="0.25">
      <c r="A164" t="s">
        <v>31</v>
      </c>
      <c r="C164" s="10" t="s">
        <v>69</v>
      </c>
      <c r="D164">
        <v>7078750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D3EC3-A3DF-4C9D-A9E7-54DDB8B2A6BA}">
  <sheetPr codeName="Sheet5"/>
  <dimension ref="A1:S16"/>
  <sheetViews>
    <sheetView topLeftCell="E1" zoomScale="108" workbookViewId="0">
      <selection sqref="A1:S2"/>
    </sheetView>
  </sheetViews>
  <sheetFormatPr defaultRowHeight="15" x14ac:dyDescent="0.25"/>
  <cols>
    <col min="1" max="1" width="19.42578125" bestFit="1" customWidth="1"/>
    <col min="2" max="2" width="19.42578125" customWidth="1"/>
    <col min="3" max="3" width="45.28515625" bestFit="1" customWidth="1"/>
    <col min="4" max="4" width="13.140625" customWidth="1"/>
    <col min="5" max="5" width="17.5703125" customWidth="1"/>
    <col min="6" max="6" width="9.7109375" customWidth="1"/>
    <col min="16" max="16" width="10.7109375" customWidth="1"/>
    <col min="19" max="19" width="11" customWidth="1"/>
  </cols>
  <sheetData>
    <row r="1" spans="1:19" x14ac:dyDescent="0.25">
      <c r="A1" s="4" t="s">
        <v>0</v>
      </c>
      <c r="B1" s="4" t="s">
        <v>47</v>
      </c>
      <c r="C1" s="4" t="s">
        <v>1</v>
      </c>
      <c r="D1" s="9" t="s">
        <v>54</v>
      </c>
      <c r="E1" s="9" t="s">
        <v>56</v>
      </c>
      <c r="F1" s="9" t="s">
        <v>57</v>
      </c>
      <c r="G1" s="9" t="s">
        <v>58</v>
      </c>
      <c r="H1" s="9" t="s">
        <v>59</v>
      </c>
      <c r="I1" s="9" t="s">
        <v>60</v>
      </c>
      <c r="J1" s="9" t="s">
        <v>61</v>
      </c>
      <c r="K1" s="9" t="s">
        <v>62</v>
      </c>
      <c r="L1" s="9" t="s">
        <v>63</v>
      </c>
      <c r="M1" s="9" t="s">
        <v>64</v>
      </c>
      <c r="N1" s="9" t="s">
        <v>65</v>
      </c>
      <c r="O1" s="9" t="s">
        <v>66</v>
      </c>
      <c r="P1" s="9" t="s">
        <v>55</v>
      </c>
      <c r="Q1" s="9" t="s">
        <v>67</v>
      </c>
      <c r="R1" s="9" t="s">
        <v>68</v>
      </c>
      <c r="S1" s="9" t="s">
        <v>69</v>
      </c>
    </row>
    <row r="2" spans="1:19" x14ac:dyDescent="0.25">
      <c r="A2" t="s">
        <v>6</v>
      </c>
      <c r="B2" t="s">
        <v>5</v>
      </c>
      <c r="C2" t="s">
        <v>7</v>
      </c>
      <c r="D2">
        <v>30000</v>
      </c>
      <c r="E2">
        <v>30050</v>
      </c>
      <c r="F2">
        <v>30100</v>
      </c>
      <c r="G2">
        <v>30150</v>
      </c>
      <c r="H2">
        <v>30200</v>
      </c>
      <c r="I2">
        <v>30250</v>
      </c>
      <c r="J2">
        <v>30300</v>
      </c>
      <c r="K2">
        <v>30350</v>
      </c>
      <c r="L2">
        <v>30400</v>
      </c>
      <c r="M2">
        <v>30450</v>
      </c>
      <c r="N2">
        <v>30500</v>
      </c>
      <c r="O2">
        <v>30550</v>
      </c>
      <c r="P2" s="4">
        <v>40550</v>
      </c>
      <c r="Q2" s="4">
        <v>37500</v>
      </c>
      <c r="R2" s="4">
        <v>37500</v>
      </c>
      <c r="S2" s="4">
        <v>37500</v>
      </c>
    </row>
    <row r="3" spans="1:19" x14ac:dyDescent="0.25">
      <c r="A3" t="s">
        <v>8</v>
      </c>
      <c r="B3" t="s">
        <v>5</v>
      </c>
      <c r="C3" t="s">
        <v>9</v>
      </c>
      <c r="D3">
        <v>20000</v>
      </c>
      <c r="E3">
        <v>20050</v>
      </c>
      <c r="F3">
        <v>20100</v>
      </c>
      <c r="G3">
        <v>20150</v>
      </c>
      <c r="H3">
        <v>20200</v>
      </c>
      <c r="I3">
        <v>20250</v>
      </c>
      <c r="J3">
        <v>20300</v>
      </c>
      <c r="K3">
        <v>20350</v>
      </c>
      <c r="L3">
        <v>20400</v>
      </c>
      <c r="M3">
        <v>20450</v>
      </c>
      <c r="N3">
        <v>20500</v>
      </c>
      <c r="O3">
        <v>20550</v>
      </c>
      <c r="P3" s="4">
        <v>30550</v>
      </c>
      <c r="Q3" s="4">
        <v>30000</v>
      </c>
      <c r="R3" s="4">
        <v>30000</v>
      </c>
      <c r="S3" s="4">
        <v>30000</v>
      </c>
    </row>
    <row r="4" spans="1:19" x14ac:dyDescent="0.25">
      <c r="A4" t="s">
        <v>10</v>
      </c>
      <c r="B4" t="s">
        <v>5</v>
      </c>
      <c r="C4" t="s">
        <v>11</v>
      </c>
      <c r="F4">
        <v>10100</v>
      </c>
      <c r="I4">
        <v>10250</v>
      </c>
      <c r="L4">
        <v>10400</v>
      </c>
      <c r="O4">
        <v>10550</v>
      </c>
      <c r="P4" s="4"/>
      <c r="Q4" s="4"/>
      <c r="R4" s="4"/>
      <c r="S4" s="4"/>
    </row>
    <row r="5" spans="1:19" x14ac:dyDescent="0.25">
      <c r="A5" s="4" t="s">
        <v>12</v>
      </c>
      <c r="B5" s="4"/>
      <c r="C5" s="4" t="s">
        <v>13</v>
      </c>
      <c r="D5" s="4">
        <f>SUM(D2:D4)</f>
        <v>50000</v>
      </c>
      <c r="E5" s="4">
        <f t="shared" ref="E5:Q5" si="0">SUM(E2:E4)</f>
        <v>50100</v>
      </c>
      <c r="F5" s="4">
        <f t="shared" si="0"/>
        <v>60300</v>
      </c>
      <c r="G5" s="4">
        <f t="shared" si="0"/>
        <v>50300</v>
      </c>
      <c r="H5" s="4">
        <f t="shared" si="0"/>
        <v>50400</v>
      </c>
      <c r="I5" s="4">
        <f t="shared" si="0"/>
        <v>60750</v>
      </c>
      <c r="J5" s="4">
        <f t="shared" si="0"/>
        <v>50600</v>
      </c>
      <c r="K5" s="4">
        <f t="shared" si="0"/>
        <v>50700</v>
      </c>
      <c r="L5" s="4">
        <f t="shared" si="0"/>
        <v>61200</v>
      </c>
      <c r="M5" s="4">
        <f t="shared" si="0"/>
        <v>50900</v>
      </c>
      <c r="N5" s="4">
        <f t="shared" si="0"/>
        <v>51000</v>
      </c>
      <c r="O5" s="4">
        <f t="shared" si="0"/>
        <v>61650</v>
      </c>
      <c r="P5" s="4">
        <f t="shared" si="0"/>
        <v>71100</v>
      </c>
      <c r="Q5" s="4">
        <f t="shared" si="0"/>
        <v>67500</v>
      </c>
      <c r="R5" s="4">
        <f t="shared" ref="R5:S5" si="1">SUM(R2:R4)</f>
        <v>67500</v>
      </c>
      <c r="S5" s="4">
        <f t="shared" si="1"/>
        <v>67500</v>
      </c>
    </row>
    <row r="6" spans="1:19" x14ac:dyDescent="0.25">
      <c r="P6" s="4"/>
      <c r="Q6" s="4"/>
      <c r="R6" s="4"/>
      <c r="S6" s="4"/>
    </row>
    <row r="7" spans="1:19" x14ac:dyDescent="0.25">
      <c r="A7" t="s">
        <v>15</v>
      </c>
      <c r="B7" t="s">
        <v>14</v>
      </c>
      <c r="C7" t="s">
        <v>16</v>
      </c>
      <c r="D7">
        <v>25000</v>
      </c>
      <c r="E7">
        <v>25050</v>
      </c>
      <c r="F7">
        <v>25100</v>
      </c>
      <c r="G7">
        <v>25150</v>
      </c>
      <c r="H7">
        <v>25200</v>
      </c>
      <c r="I7">
        <v>25250</v>
      </c>
      <c r="J7">
        <v>25300</v>
      </c>
      <c r="K7">
        <v>25350</v>
      </c>
      <c r="L7">
        <v>25400</v>
      </c>
      <c r="M7">
        <v>25450</v>
      </c>
      <c r="N7">
        <v>25500</v>
      </c>
      <c r="O7">
        <v>25550</v>
      </c>
      <c r="P7" s="4">
        <v>30550</v>
      </c>
      <c r="Q7" s="4">
        <v>30000</v>
      </c>
      <c r="R7" s="4">
        <v>30000</v>
      </c>
      <c r="S7" s="4">
        <v>30000</v>
      </c>
    </row>
    <row r="8" spans="1:19" x14ac:dyDescent="0.25">
      <c r="A8" t="s">
        <v>17</v>
      </c>
      <c r="B8" t="s">
        <v>14</v>
      </c>
      <c r="C8" t="s">
        <v>18</v>
      </c>
      <c r="D8">
        <v>15000</v>
      </c>
      <c r="E8">
        <v>15050</v>
      </c>
      <c r="F8">
        <v>15100</v>
      </c>
      <c r="G8">
        <v>15150</v>
      </c>
      <c r="H8">
        <v>15200</v>
      </c>
      <c r="I8">
        <v>15250</v>
      </c>
      <c r="J8">
        <v>15300</v>
      </c>
      <c r="K8">
        <v>15350</v>
      </c>
      <c r="L8">
        <v>15400</v>
      </c>
      <c r="M8">
        <v>15450</v>
      </c>
      <c r="N8">
        <v>15500</v>
      </c>
      <c r="O8">
        <v>15550</v>
      </c>
      <c r="P8" s="4">
        <v>15600</v>
      </c>
      <c r="Q8" s="4">
        <v>15000</v>
      </c>
      <c r="R8" s="4">
        <v>15000</v>
      </c>
      <c r="S8" s="4">
        <v>15000</v>
      </c>
    </row>
    <row r="9" spans="1:19" x14ac:dyDescent="0.25">
      <c r="A9" t="s">
        <v>19</v>
      </c>
      <c r="B9" t="s">
        <v>14</v>
      </c>
      <c r="C9" t="s">
        <v>20</v>
      </c>
      <c r="F9">
        <v>5000</v>
      </c>
      <c r="I9">
        <v>5000</v>
      </c>
      <c r="L9">
        <v>5000</v>
      </c>
      <c r="O9">
        <v>5000</v>
      </c>
      <c r="P9" s="4"/>
      <c r="Q9" s="4"/>
      <c r="R9" s="4"/>
      <c r="S9">
        <v>5000</v>
      </c>
    </row>
    <row r="10" spans="1:19" x14ac:dyDescent="0.25">
      <c r="A10" t="s">
        <v>21</v>
      </c>
      <c r="B10" t="s">
        <v>14</v>
      </c>
      <c r="C10" t="s">
        <v>22</v>
      </c>
      <c r="F10">
        <v>15000</v>
      </c>
      <c r="I10">
        <v>15000</v>
      </c>
      <c r="L10">
        <v>15000</v>
      </c>
      <c r="O10">
        <v>15000</v>
      </c>
      <c r="P10" s="4"/>
      <c r="Q10" s="4"/>
      <c r="R10" s="4"/>
      <c r="S10">
        <v>15000</v>
      </c>
    </row>
    <row r="11" spans="1:19" x14ac:dyDescent="0.25">
      <c r="A11" t="s">
        <v>23</v>
      </c>
      <c r="B11" t="s">
        <v>14</v>
      </c>
      <c r="C11" t="s">
        <v>24</v>
      </c>
      <c r="F11">
        <v>15000</v>
      </c>
      <c r="I11">
        <v>15000</v>
      </c>
      <c r="L11">
        <v>15000</v>
      </c>
      <c r="O11">
        <v>15000</v>
      </c>
      <c r="P11" s="4"/>
      <c r="Q11" s="4"/>
      <c r="R11" s="4"/>
      <c r="S11">
        <v>15000</v>
      </c>
    </row>
    <row r="12" spans="1:19" x14ac:dyDescent="0.25">
      <c r="A12" s="4" t="s">
        <v>25</v>
      </c>
      <c r="B12" s="4"/>
      <c r="C12" s="4" t="s">
        <v>26</v>
      </c>
      <c r="D12" s="4">
        <f>SUM(D7:D11)</f>
        <v>40000</v>
      </c>
      <c r="E12" s="4">
        <f t="shared" ref="E12:Q12" si="2">SUM(E7:E11)</f>
        <v>40100</v>
      </c>
      <c r="F12" s="4">
        <f t="shared" si="2"/>
        <v>75200</v>
      </c>
      <c r="G12" s="4">
        <f t="shared" si="2"/>
        <v>40300</v>
      </c>
      <c r="H12" s="4">
        <f t="shared" si="2"/>
        <v>40400</v>
      </c>
      <c r="I12" s="4">
        <f t="shared" si="2"/>
        <v>75500</v>
      </c>
      <c r="J12" s="4">
        <f t="shared" si="2"/>
        <v>40600</v>
      </c>
      <c r="K12" s="4">
        <f t="shared" si="2"/>
        <v>40700</v>
      </c>
      <c r="L12" s="4">
        <f t="shared" si="2"/>
        <v>75800</v>
      </c>
      <c r="M12" s="4">
        <f t="shared" si="2"/>
        <v>40900</v>
      </c>
      <c r="N12" s="4">
        <f t="shared" si="2"/>
        <v>41000</v>
      </c>
      <c r="O12" s="4">
        <f t="shared" si="2"/>
        <v>76100</v>
      </c>
      <c r="P12" s="4">
        <f t="shared" si="2"/>
        <v>46150</v>
      </c>
      <c r="Q12" s="4">
        <f t="shared" si="2"/>
        <v>45000</v>
      </c>
      <c r="R12" s="4">
        <f t="shared" ref="R12:S12" si="3">SUM(R7:R11)</f>
        <v>45000</v>
      </c>
      <c r="S12" s="4">
        <f t="shared" si="3"/>
        <v>80000</v>
      </c>
    </row>
    <row r="13" spans="1:19" x14ac:dyDescent="0.25">
      <c r="P13" s="4"/>
      <c r="Q13" s="4"/>
      <c r="R13" s="4"/>
      <c r="S13" s="4"/>
    </row>
    <row r="14" spans="1:19" x14ac:dyDescent="0.25">
      <c r="A14" s="4" t="s">
        <v>27</v>
      </c>
      <c r="B14" s="4"/>
      <c r="C14" s="4" t="s">
        <v>28</v>
      </c>
      <c r="D14" s="4">
        <f t="shared" ref="D14:Q14" si="4">D5-D12</f>
        <v>10000</v>
      </c>
      <c r="E14" s="4">
        <f t="shared" si="4"/>
        <v>10000</v>
      </c>
      <c r="F14" s="4">
        <f t="shared" si="4"/>
        <v>-14900</v>
      </c>
      <c r="G14" s="4">
        <f t="shared" si="4"/>
        <v>10000</v>
      </c>
      <c r="H14" s="4">
        <f t="shared" si="4"/>
        <v>10000</v>
      </c>
      <c r="I14" s="4">
        <f t="shared" si="4"/>
        <v>-14750</v>
      </c>
      <c r="J14" s="4">
        <f t="shared" si="4"/>
        <v>10000</v>
      </c>
      <c r="K14" s="4">
        <f t="shared" si="4"/>
        <v>10000</v>
      </c>
      <c r="L14" s="4">
        <f t="shared" si="4"/>
        <v>-14600</v>
      </c>
      <c r="M14" s="4">
        <f t="shared" si="4"/>
        <v>10000</v>
      </c>
      <c r="N14" s="4">
        <f t="shared" si="4"/>
        <v>10000</v>
      </c>
      <c r="O14" s="4">
        <f t="shared" si="4"/>
        <v>-14450</v>
      </c>
      <c r="P14" s="4">
        <f t="shared" si="4"/>
        <v>24950</v>
      </c>
      <c r="Q14" s="4">
        <f t="shared" si="4"/>
        <v>22500</v>
      </c>
      <c r="R14" s="4">
        <f t="shared" ref="R14:S14" si="5">R5-R12</f>
        <v>22500</v>
      </c>
      <c r="S14" s="4">
        <f t="shared" si="5"/>
        <v>-12500</v>
      </c>
    </row>
    <row r="15" spans="1:19" x14ac:dyDescent="0.25">
      <c r="A15" t="s">
        <v>29</v>
      </c>
      <c r="C15" t="s">
        <v>30</v>
      </c>
      <c r="D15">
        <v>7000000</v>
      </c>
      <c r="E15">
        <f>D16</f>
        <v>7010000</v>
      </c>
      <c r="F15">
        <f t="shared" ref="F15:O15" si="6">E16</f>
        <v>7020000</v>
      </c>
      <c r="G15">
        <f t="shared" si="6"/>
        <v>7005100</v>
      </c>
      <c r="H15">
        <f t="shared" si="6"/>
        <v>7015100</v>
      </c>
      <c r="I15">
        <f t="shared" si="6"/>
        <v>7025100</v>
      </c>
      <c r="J15">
        <f t="shared" si="6"/>
        <v>7010350</v>
      </c>
      <c r="K15">
        <f t="shared" si="6"/>
        <v>7020350</v>
      </c>
      <c r="L15">
        <f t="shared" si="6"/>
        <v>7030350</v>
      </c>
      <c r="M15">
        <f t="shared" si="6"/>
        <v>7015750</v>
      </c>
      <c r="N15">
        <f t="shared" si="6"/>
        <v>7025750</v>
      </c>
      <c r="O15">
        <f t="shared" si="6"/>
        <v>7035750</v>
      </c>
      <c r="P15">
        <f>O16</f>
        <v>7021300</v>
      </c>
      <c r="Q15">
        <f>P16</f>
        <v>7046250</v>
      </c>
      <c r="R15" s="4">
        <f>Q16</f>
        <v>7068750</v>
      </c>
      <c r="S15" s="4">
        <f>R16</f>
        <v>7091250</v>
      </c>
    </row>
    <row r="16" spans="1:19" x14ac:dyDescent="0.25">
      <c r="A16" s="4" t="s">
        <v>31</v>
      </c>
      <c r="B16" s="4"/>
      <c r="C16" s="4" t="s">
        <v>32</v>
      </c>
      <c r="D16" s="4">
        <f>D15+D14</f>
        <v>7010000</v>
      </c>
      <c r="E16" s="4">
        <f>E15+E14</f>
        <v>7020000</v>
      </c>
      <c r="F16" s="4">
        <f t="shared" ref="F16:Q16" si="7">F15+F14</f>
        <v>7005100</v>
      </c>
      <c r="G16" s="4">
        <f t="shared" si="7"/>
        <v>7015100</v>
      </c>
      <c r="H16" s="4">
        <f t="shared" si="7"/>
        <v>7025100</v>
      </c>
      <c r="I16" s="4">
        <f t="shared" si="7"/>
        <v>7010350</v>
      </c>
      <c r="J16" s="4">
        <f t="shared" si="7"/>
        <v>7020350</v>
      </c>
      <c r="K16" s="4">
        <f t="shared" si="7"/>
        <v>7030350</v>
      </c>
      <c r="L16" s="4">
        <f t="shared" si="7"/>
        <v>7015750</v>
      </c>
      <c r="M16" s="4">
        <f t="shared" si="7"/>
        <v>7025750</v>
      </c>
      <c r="N16" s="4">
        <f t="shared" si="7"/>
        <v>7035750</v>
      </c>
      <c r="O16" s="4">
        <f t="shared" si="7"/>
        <v>7021300</v>
      </c>
      <c r="P16" s="4">
        <f t="shared" si="7"/>
        <v>7046250</v>
      </c>
      <c r="Q16" s="4">
        <f t="shared" si="7"/>
        <v>7068750</v>
      </c>
      <c r="R16" s="4">
        <f t="shared" ref="R16:S16" si="8">R15+R14</f>
        <v>7091250</v>
      </c>
      <c r="S16" s="4">
        <f t="shared" si="8"/>
        <v>7078750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1DF57-BDFA-46F6-8483-D9B92AEF4EDC}">
  <dimension ref="A1:E21"/>
  <sheetViews>
    <sheetView tabSelected="1" workbookViewId="0"/>
  </sheetViews>
  <sheetFormatPr defaultRowHeight="15" x14ac:dyDescent="0.25"/>
  <cols>
    <col min="1" max="1" width="13" customWidth="1"/>
    <col min="2" max="2" width="20.140625" customWidth="1"/>
    <col min="3" max="3" width="28.85546875" customWidth="1"/>
    <col min="4" max="5" width="43.28515625" customWidth="1"/>
  </cols>
  <sheetData>
    <row r="1" spans="1:5" x14ac:dyDescent="0.25">
      <c r="A1" t="s">
        <v>1</v>
      </c>
      <c r="B1" t="s">
        <v>6</v>
      </c>
      <c r="C1" t="s">
        <v>70</v>
      </c>
      <c r="D1" t="s">
        <v>71</v>
      </c>
      <c r="E1" t="s">
        <v>72</v>
      </c>
    </row>
    <row r="2" spans="1:5" x14ac:dyDescent="0.25">
      <c r="A2" s="10">
        <v>45292</v>
      </c>
      <c r="B2">
        <v>30000</v>
      </c>
    </row>
    <row r="3" spans="1:5" x14ac:dyDescent="0.25">
      <c r="A3" s="10">
        <v>45323</v>
      </c>
      <c r="B3">
        <v>30050</v>
      </c>
    </row>
    <row r="4" spans="1:5" x14ac:dyDescent="0.25">
      <c r="A4" s="10">
        <v>45352</v>
      </c>
      <c r="B4">
        <v>30100</v>
      </c>
    </row>
    <row r="5" spans="1:5" x14ac:dyDescent="0.25">
      <c r="A5" s="10">
        <v>45383</v>
      </c>
      <c r="B5">
        <v>30150</v>
      </c>
    </row>
    <row r="6" spans="1:5" x14ac:dyDescent="0.25">
      <c r="A6" s="10">
        <v>45413</v>
      </c>
      <c r="B6">
        <v>30200</v>
      </c>
    </row>
    <row r="7" spans="1:5" x14ac:dyDescent="0.25">
      <c r="A7" s="10">
        <v>45444</v>
      </c>
      <c r="B7">
        <v>30250</v>
      </c>
    </row>
    <row r="8" spans="1:5" x14ac:dyDescent="0.25">
      <c r="A8" s="10">
        <v>45474</v>
      </c>
      <c r="B8">
        <v>30300</v>
      </c>
    </row>
    <row r="9" spans="1:5" x14ac:dyDescent="0.25">
      <c r="A9" s="10">
        <v>45505</v>
      </c>
      <c r="B9">
        <v>30350</v>
      </c>
    </row>
    <row r="10" spans="1:5" x14ac:dyDescent="0.25">
      <c r="A10" s="10">
        <v>45536</v>
      </c>
      <c r="B10">
        <v>30400</v>
      </c>
    </row>
    <row r="11" spans="1:5" x14ac:dyDescent="0.25">
      <c r="A11" s="10">
        <v>45566</v>
      </c>
      <c r="B11">
        <v>30450</v>
      </c>
    </row>
    <row r="12" spans="1:5" x14ac:dyDescent="0.25">
      <c r="A12" s="10">
        <v>45597</v>
      </c>
      <c r="B12">
        <v>30500</v>
      </c>
    </row>
    <row r="13" spans="1:5" x14ac:dyDescent="0.25">
      <c r="A13" s="10">
        <v>45627</v>
      </c>
      <c r="B13">
        <v>30550</v>
      </c>
    </row>
    <row r="14" spans="1:5" x14ac:dyDescent="0.25">
      <c r="A14" s="10">
        <v>45658</v>
      </c>
      <c r="B14">
        <v>40550</v>
      </c>
    </row>
    <row r="15" spans="1:5" x14ac:dyDescent="0.25">
      <c r="A15" s="10">
        <v>45689</v>
      </c>
      <c r="B15">
        <v>37500</v>
      </c>
    </row>
    <row r="16" spans="1:5" x14ac:dyDescent="0.25">
      <c r="A16" s="10">
        <v>45717</v>
      </c>
      <c r="B16">
        <v>37500</v>
      </c>
    </row>
    <row r="17" spans="1:5" x14ac:dyDescent="0.25">
      <c r="A17" s="10">
        <v>45748</v>
      </c>
      <c r="B17">
        <v>37500</v>
      </c>
      <c r="C17">
        <v>37500</v>
      </c>
      <c r="D17" s="14">
        <v>37500</v>
      </c>
      <c r="E17" s="14">
        <v>37500</v>
      </c>
    </row>
    <row r="18" spans="1:5" x14ac:dyDescent="0.25">
      <c r="A18" s="10">
        <v>45778</v>
      </c>
      <c r="C18">
        <f>_xlfn.FORECAST.ETS(A18,$B$2:$B$17,$A$2:$A$17,1,1)</f>
        <v>37809.053046438945</v>
      </c>
      <c r="D18" s="14">
        <f>C18-_xlfn.FORECAST.ETS.CONFINT(A18,$B$2:$B$17,$A$2:$A$17,0.95,1,1)</f>
        <v>32941.775054989113</v>
      </c>
      <c r="E18" s="14">
        <f>C18+_xlfn.FORECAST.ETS.CONFINT(A18,$B$2:$B$17,$A$2:$A$17,0.95,1,1)</f>
        <v>42676.331037888776</v>
      </c>
    </row>
    <row r="19" spans="1:5" x14ac:dyDescent="0.25">
      <c r="A19" s="10">
        <v>45809</v>
      </c>
      <c r="C19">
        <f>_xlfn.FORECAST.ETS(A19,$B$2:$B$17,$A$2:$A$17,1,1)</f>
        <v>38375.563540212584</v>
      </c>
      <c r="D19" s="14">
        <f>C19-_xlfn.FORECAST.ETS.CONFINT(A19,$B$2:$B$17,$A$2:$A$17,0.95,1,1)</f>
        <v>33357.305513332314</v>
      </c>
      <c r="E19" s="14">
        <f>C19+_xlfn.FORECAST.ETS.CONFINT(A19,$B$2:$B$17,$A$2:$A$17,0.95,1,1)</f>
        <v>43393.821567092855</v>
      </c>
    </row>
    <row r="20" spans="1:5" x14ac:dyDescent="0.25">
      <c r="A20" s="10">
        <v>45839</v>
      </c>
      <c r="C20">
        <f>_xlfn.FORECAST.ETS(A20,$B$2:$B$17,$A$2:$A$17,1,1)</f>
        <v>38942.074033986224</v>
      </c>
      <c r="D20" s="14">
        <f>C20-_xlfn.FORECAST.ETS.CONFINT(A20,$B$2:$B$17,$A$2:$A$17,0.95,1,1)</f>
        <v>33776.094120034497</v>
      </c>
      <c r="E20" s="14">
        <f>C20+_xlfn.FORECAST.ETS.CONFINT(A20,$B$2:$B$17,$A$2:$A$17,0.95,1,1)</f>
        <v>44108.053947937951</v>
      </c>
    </row>
    <row r="21" spans="1:5" x14ac:dyDescent="0.25">
      <c r="A21" s="10">
        <v>45870</v>
      </c>
      <c r="C21">
        <f>_xlfn.FORECAST.ETS(A21,$B$2:$B$17,$A$2:$A$17,1,1)</f>
        <v>39508.584527759864</v>
      </c>
      <c r="D21" s="14">
        <f>C21-_xlfn.FORECAST.ETS.CONFINT(A21,$B$2:$B$17,$A$2:$A$17,0.95,1,1)</f>
        <v>34197.864523103672</v>
      </c>
      <c r="E21" s="14">
        <f>C21+_xlfn.FORECAST.ETS.CONFINT(A21,$B$2:$B$17,$A$2:$A$17,0.95,1,1)</f>
        <v>44819.304532416056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6EFAE-03D4-4C35-AECB-2B067C800661}">
  <dimension ref="A1:B17"/>
  <sheetViews>
    <sheetView workbookViewId="0">
      <selection activeCell="C1" sqref="C1:C17"/>
    </sheetView>
  </sheetViews>
  <sheetFormatPr defaultRowHeight="15" x14ac:dyDescent="0.25"/>
  <cols>
    <col min="1" max="1" width="14" style="15" customWidth="1"/>
    <col min="2" max="2" width="13.85546875" customWidth="1"/>
  </cols>
  <sheetData>
    <row r="1" spans="1:2" x14ac:dyDescent="0.25">
      <c r="A1" s="13" t="s">
        <v>1</v>
      </c>
      <c r="B1" s="11" t="s">
        <v>6</v>
      </c>
    </row>
    <row r="2" spans="1:2" x14ac:dyDescent="0.25">
      <c r="A2" s="13">
        <v>45292</v>
      </c>
      <c r="B2" s="11">
        <v>30000</v>
      </c>
    </row>
    <row r="3" spans="1:2" x14ac:dyDescent="0.25">
      <c r="A3" s="13">
        <v>45323</v>
      </c>
      <c r="B3" s="11">
        <v>30050</v>
      </c>
    </row>
    <row r="4" spans="1:2" x14ac:dyDescent="0.25">
      <c r="A4" s="13">
        <v>45352</v>
      </c>
      <c r="B4" s="11">
        <v>30100</v>
      </c>
    </row>
    <row r="5" spans="1:2" x14ac:dyDescent="0.25">
      <c r="A5" s="13">
        <v>45383</v>
      </c>
      <c r="B5" s="11">
        <v>30150</v>
      </c>
    </row>
    <row r="6" spans="1:2" x14ac:dyDescent="0.25">
      <c r="A6" s="13">
        <v>45413</v>
      </c>
      <c r="B6" s="11">
        <v>30200</v>
      </c>
    </row>
    <row r="7" spans="1:2" x14ac:dyDescent="0.25">
      <c r="A7" s="13">
        <v>45444</v>
      </c>
      <c r="B7" s="11">
        <v>30250</v>
      </c>
    </row>
    <row r="8" spans="1:2" x14ac:dyDescent="0.25">
      <c r="A8" s="13">
        <v>45474</v>
      </c>
      <c r="B8" s="11">
        <v>30300</v>
      </c>
    </row>
    <row r="9" spans="1:2" x14ac:dyDescent="0.25">
      <c r="A9" s="13">
        <v>45505</v>
      </c>
      <c r="B9" s="11">
        <v>30350</v>
      </c>
    </row>
    <row r="10" spans="1:2" x14ac:dyDescent="0.25">
      <c r="A10" s="13">
        <v>45536</v>
      </c>
      <c r="B10" s="11">
        <v>30400</v>
      </c>
    </row>
    <row r="11" spans="1:2" x14ac:dyDescent="0.25">
      <c r="A11" s="13">
        <v>45566</v>
      </c>
      <c r="B11" s="11">
        <v>30450</v>
      </c>
    </row>
    <row r="12" spans="1:2" x14ac:dyDescent="0.25">
      <c r="A12" s="13">
        <v>45597</v>
      </c>
      <c r="B12" s="11">
        <v>30500</v>
      </c>
    </row>
    <row r="13" spans="1:2" x14ac:dyDescent="0.25">
      <c r="A13" s="13">
        <v>45627</v>
      </c>
      <c r="B13" s="11">
        <v>30550</v>
      </c>
    </row>
    <row r="14" spans="1:2" x14ac:dyDescent="0.25">
      <c r="A14" s="13">
        <v>45658</v>
      </c>
      <c r="B14" s="12">
        <v>40550</v>
      </c>
    </row>
    <row r="15" spans="1:2" x14ac:dyDescent="0.25">
      <c r="A15" s="13">
        <v>45689</v>
      </c>
      <c r="B15" s="12">
        <v>37500</v>
      </c>
    </row>
    <row r="16" spans="1:2" x14ac:dyDescent="0.25">
      <c r="A16" s="13">
        <v>45717</v>
      </c>
      <c r="B16" s="12">
        <v>37500</v>
      </c>
    </row>
    <row r="17" spans="1:2" x14ac:dyDescent="0.25">
      <c r="A17" s="13">
        <v>45748</v>
      </c>
      <c r="B17" s="12">
        <v>37500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8950-B551-41B8-871B-C29D0D9518F3}">
  <sheetPr codeName="Sheet6"/>
  <dimension ref="A1:I18"/>
  <sheetViews>
    <sheetView workbookViewId="0">
      <selection activeCell="J20" sqref="J20"/>
    </sheetView>
  </sheetViews>
  <sheetFormatPr defaultRowHeight="15" x14ac:dyDescent="0.25"/>
  <cols>
    <col min="1" max="1" width="19.140625" customWidth="1"/>
    <col min="5" max="5" width="12.85546875" customWidth="1"/>
    <col min="8" max="8" width="9.7109375" bestFit="1" customWidth="1"/>
  </cols>
  <sheetData>
    <row r="1" spans="1:9" x14ac:dyDescent="0.25">
      <c r="A1" t="s">
        <v>33</v>
      </c>
    </row>
    <row r="2" spans="1:9" x14ac:dyDescent="0.25">
      <c r="A2" t="s">
        <v>5</v>
      </c>
    </row>
    <row r="3" spans="1:9" x14ac:dyDescent="0.25">
      <c r="A3" t="s">
        <v>6</v>
      </c>
      <c r="B3" t="s">
        <v>7</v>
      </c>
      <c r="H3" s="3">
        <v>5.0000000000000001E-4</v>
      </c>
      <c r="I3" t="s">
        <v>35</v>
      </c>
    </row>
    <row r="4" spans="1:9" x14ac:dyDescent="0.25">
      <c r="A4" t="s">
        <v>8</v>
      </c>
      <c r="B4" t="s">
        <v>9</v>
      </c>
      <c r="G4" t="s">
        <v>36</v>
      </c>
      <c r="H4" s="3">
        <v>2.5000000000000001E-4</v>
      </c>
    </row>
    <row r="5" spans="1:9" x14ac:dyDescent="0.25">
      <c r="A5" t="s">
        <v>10</v>
      </c>
      <c r="B5" t="s">
        <v>11</v>
      </c>
      <c r="H5" s="3"/>
    </row>
    <row r="6" spans="1:9" x14ac:dyDescent="0.25">
      <c r="A6" t="s">
        <v>12</v>
      </c>
      <c r="B6" t="s">
        <v>13</v>
      </c>
      <c r="H6" s="3"/>
    </row>
    <row r="7" spans="1:9" x14ac:dyDescent="0.25">
      <c r="H7" s="3"/>
    </row>
    <row r="8" spans="1:9" x14ac:dyDescent="0.25">
      <c r="A8" t="s">
        <v>14</v>
      </c>
      <c r="H8" s="3"/>
    </row>
    <row r="9" spans="1:9" x14ac:dyDescent="0.25">
      <c r="A9" t="s">
        <v>15</v>
      </c>
      <c r="B9" t="s">
        <v>16</v>
      </c>
      <c r="H9" s="3">
        <v>7.4999999999999997E-3</v>
      </c>
    </row>
    <row r="10" spans="1:9" x14ac:dyDescent="0.25">
      <c r="A10" t="s">
        <v>17</v>
      </c>
      <c r="B10" t="s">
        <v>18</v>
      </c>
      <c r="H10" s="3">
        <v>2.5000000000000001E-4</v>
      </c>
    </row>
    <row r="11" spans="1:9" x14ac:dyDescent="0.25">
      <c r="A11" t="s">
        <v>19</v>
      </c>
      <c r="B11" t="s">
        <v>20</v>
      </c>
    </row>
    <row r="12" spans="1:9" x14ac:dyDescent="0.25">
      <c r="A12" t="s">
        <v>21</v>
      </c>
      <c r="B12" t="s">
        <v>22</v>
      </c>
      <c r="G12" t="s">
        <v>34</v>
      </c>
      <c r="H12" s="2">
        <v>15000</v>
      </c>
    </row>
    <row r="13" spans="1:9" x14ac:dyDescent="0.25">
      <c r="A13" t="s">
        <v>23</v>
      </c>
      <c r="B13" t="s">
        <v>24</v>
      </c>
      <c r="G13" t="s">
        <v>34</v>
      </c>
      <c r="H13" s="2">
        <v>15000</v>
      </c>
    </row>
    <row r="14" spans="1:9" x14ac:dyDescent="0.25">
      <c r="A14" t="s">
        <v>25</v>
      </c>
      <c r="B14" t="s">
        <v>26</v>
      </c>
    </row>
    <row r="16" spans="1:9" x14ac:dyDescent="0.25">
      <c r="A16" t="s">
        <v>27</v>
      </c>
      <c r="B16" t="s">
        <v>28</v>
      </c>
    </row>
    <row r="17" spans="1:8" x14ac:dyDescent="0.25">
      <c r="A17" t="s">
        <v>29</v>
      </c>
      <c r="B17" t="s">
        <v>30</v>
      </c>
      <c r="H17" s="2">
        <v>7000000</v>
      </c>
    </row>
    <row r="18" spans="1:8" x14ac:dyDescent="0.25">
      <c r="A18" t="s">
        <v>31</v>
      </c>
      <c r="B18" t="s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62EE-8077-4762-B8B5-7FA6E769BEC5}">
  <sheetPr codeName="Sheet7"/>
  <dimension ref="A1:T21"/>
  <sheetViews>
    <sheetView zoomScale="70" zoomScaleNormal="70" workbookViewId="0">
      <selection activeCell="G20" sqref="G20"/>
    </sheetView>
  </sheetViews>
  <sheetFormatPr defaultRowHeight="15" x14ac:dyDescent="0.25"/>
  <cols>
    <col min="1" max="1" width="19.42578125" bestFit="1" customWidth="1"/>
    <col min="2" max="2" width="45.28515625" hidden="1" customWidth="1"/>
    <col min="3" max="3" width="12.42578125" hidden="1" customWidth="1"/>
    <col min="16" max="16" width="16.5703125" customWidth="1"/>
  </cols>
  <sheetData>
    <row r="1" spans="1:20" x14ac:dyDescent="0.25">
      <c r="A1" s="4" t="s">
        <v>0</v>
      </c>
      <c r="B1" s="4" t="s">
        <v>1</v>
      </c>
      <c r="C1" s="4" t="s">
        <v>46</v>
      </c>
      <c r="D1" s="5">
        <v>45292</v>
      </c>
      <c r="E1" s="5">
        <v>45324</v>
      </c>
      <c r="F1" s="5">
        <v>45356</v>
      </c>
      <c r="G1" s="5">
        <v>45388</v>
      </c>
      <c r="H1" s="5">
        <v>45420</v>
      </c>
      <c r="I1" s="5">
        <v>45452</v>
      </c>
      <c r="J1" s="5">
        <v>45484</v>
      </c>
      <c r="K1" s="4"/>
      <c r="L1" s="4"/>
      <c r="M1" s="4"/>
      <c r="N1" s="4"/>
      <c r="O1" s="4"/>
      <c r="P1" s="4"/>
      <c r="Q1" s="4"/>
      <c r="R1" s="4"/>
    </row>
    <row r="2" spans="1:20" x14ac:dyDescent="0.25">
      <c r="A2" t="s">
        <v>5</v>
      </c>
    </row>
    <row r="3" spans="1:20" x14ac:dyDescent="0.25">
      <c r="A3" t="s">
        <v>6</v>
      </c>
      <c r="B3" t="s">
        <v>7</v>
      </c>
      <c r="D3">
        <f>Historicals!N3*(1+Assumptions!$H3)</f>
        <v>30565.274999999998</v>
      </c>
      <c r="E3">
        <f>D3*(1+Assumptions!$H3)</f>
        <v>30580.557637499995</v>
      </c>
      <c r="F3">
        <f>E3*(1+Assumptions!$H3)</f>
        <v>30595.847916318744</v>
      </c>
      <c r="G3">
        <f>F3*(1+Assumptions!$H3)</f>
        <v>30611.145840276902</v>
      </c>
      <c r="H3">
        <f>G3*(1+Assumptions!$H3)</f>
        <v>30626.451413197039</v>
      </c>
      <c r="I3">
        <f>H3*(1+Assumptions!$H3)</f>
        <v>30641.764638903634</v>
      </c>
      <c r="J3">
        <f>I3*(1+Assumptions!$H3)</f>
        <v>30657.085521223085</v>
      </c>
    </row>
    <row r="4" spans="1:20" x14ac:dyDescent="0.25">
      <c r="A4" t="s">
        <v>8</v>
      </c>
      <c r="B4" t="s">
        <v>9</v>
      </c>
      <c r="D4">
        <f>Historicals!N4*(1+Assumptions!$H4)</f>
        <v>20555.137500000001</v>
      </c>
      <c r="E4">
        <f>D4*(1+Assumptions!$H4)</f>
        <v>20560.276284375002</v>
      </c>
      <c r="F4">
        <f>E4*(1+Assumptions!$H4)</f>
        <v>20565.416353446097</v>
      </c>
      <c r="G4">
        <f>F4*(1+Assumptions!$H4)</f>
        <v>20570.557707534459</v>
      </c>
      <c r="H4">
        <f>G4*(1+Assumptions!$H4)</f>
        <v>20575.700346961345</v>
      </c>
      <c r="I4">
        <f>H4*(1+Assumptions!$H4)</f>
        <v>20580.844272048085</v>
      </c>
      <c r="J4">
        <f>I4*(1+Assumptions!$H4)</f>
        <v>20585.9894831161</v>
      </c>
    </row>
    <row r="5" spans="1:20" x14ac:dyDescent="0.25">
      <c r="A5" t="s">
        <v>10</v>
      </c>
      <c r="B5" t="s">
        <v>11</v>
      </c>
      <c r="F5">
        <v>10100</v>
      </c>
      <c r="I5">
        <v>10250</v>
      </c>
    </row>
    <row r="6" spans="1:20" x14ac:dyDescent="0.25">
      <c r="A6" s="4" t="s">
        <v>12</v>
      </c>
      <c r="B6" s="4" t="s">
        <v>13</v>
      </c>
      <c r="C6" s="4"/>
      <c r="D6" s="4">
        <f>SUM(D3:D5)</f>
        <v>51120.412499999999</v>
      </c>
      <c r="E6" s="4">
        <f t="shared" ref="E6:J6" si="0">SUM(E3:E5)</f>
        <v>51140.833921874997</v>
      </c>
      <c r="F6" s="4">
        <f t="shared" si="0"/>
        <v>61261.264269764841</v>
      </c>
      <c r="G6" s="4">
        <f t="shared" si="0"/>
        <v>51181.703547811361</v>
      </c>
      <c r="H6" s="4">
        <f t="shared" si="0"/>
        <v>51202.151760158384</v>
      </c>
      <c r="I6" s="4">
        <f t="shared" si="0"/>
        <v>61472.60891095172</v>
      </c>
      <c r="J6" s="4">
        <f t="shared" si="0"/>
        <v>51243.075004339189</v>
      </c>
      <c r="K6" s="4"/>
      <c r="L6" s="4"/>
      <c r="M6" s="4"/>
      <c r="N6" s="4"/>
      <c r="O6" s="4"/>
      <c r="P6" s="4"/>
      <c r="Q6" s="4"/>
      <c r="R6" s="4"/>
    </row>
    <row r="7" spans="1:20" x14ac:dyDescent="0.25">
      <c r="P7" s="1"/>
    </row>
    <row r="8" spans="1:20" x14ac:dyDescent="0.25">
      <c r="A8" t="s">
        <v>14</v>
      </c>
      <c r="C8" s="1"/>
    </row>
    <row r="9" spans="1:20" x14ac:dyDescent="0.25">
      <c r="A9" t="s">
        <v>15</v>
      </c>
      <c r="B9" t="s">
        <v>16</v>
      </c>
      <c r="C9" s="1">
        <v>7.4999999999999997E-3</v>
      </c>
      <c r="D9">
        <f>Historicals!N9*(1+C9)</f>
        <v>25741.625</v>
      </c>
      <c r="E9">
        <f t="shared" ref="E9:J9" si="1">D9*(1+$C9)</f>
        <v>25934.687187500003</v>
      </c>
      <c r="F9">
        <f t="shared" si="1"/>
        <v>26129.197341406256</v>
      </c>
      <c r="G9">
        <f t="shared" si="1"/>
        <v>26325.166321466804</v>
      </c>
      <c r="H9">
        <f t="shared" si="1"/>
        <v>26522.605068877809</v>
      </c>
      <c r="I9">
        <f t="shared" si="1"/>
        <v>26721.524606894392</v>
      </c>
      <c r="J9">
        <f t="shared" si="1"/>
        <v>26921.936041446101</v>
      </c>
      <c r="O9" s="1"/>
    </row>
    <row r="10" spans="1:20" x14ac:dyDescent="0.25">
      <c r="A10" t="s">
        <v>17</v>
      </c>
      <c r="B10" t="s">
        <v>18</v>
      </c>
      <c r="D10">
        <f>Historicals!N10*(1+Assumptions!$H10)</f>
        <v>15553.887500000001</v>
      </c>
      <c r="E10">
        <f>D10*(1+Assumptions!$H10)</f>
        <v>15557.775971875002</v>
      </c>
      <c r="F10">
        <f>E10*(1+Assumptions!$H10)</f>
        <v>15561.665415867972</v>
      </c>
      <c r="G10">
        <f>F10*(1+Assumptions!$H10)</f>
        <v>15565.55583222194</v>
      </c>
      <c r="H10">
        <f>G10*(1+Assumptions!$H10)</f>
        <v>15569.447221179997</v>
      </c>
      <c r="I10">
        <f>H10*(1+Assumptions!$H10)</f>
        <v>15573.339582985293</v>
      </c>
      <c r="J10">
        <f>I10*(1+Assumptions!$H10)</f>
        <v>15577.23291788104</v>
      </c>
    </row>
    <row r="11" spans="1:20" x14ac:dyDescent="0.25">
      <c r="A11" t="s">
        <v>19</v>
      </c>
      <c r="B11" t="s">
        <v>20</v>
      </c>
      <c r="F11">
        <v>5000</v>
      </c>
      <c r="I11">
        <v>5000</v>
      </c>
    </row>
    <row r="12" spans="1:20" x14ac:dyDescent="0.25">
      <c r="A12" t="s">
        <v>21</v>
      </c>
      <c r="B12" t="s">
        <v>22</v>
      </c>
      <c r="F12">
        <v>15000</v>
      </c>
      <c r="I12">
        <v>15000</v>
      </c>
    </row>
    <row r="13" spans="1:20" x14ac:dyDescent="0.25">
      <c r="A13" t="s">
        <v>23</v>
      </c>
      <c r="B13" t="s">
        <v>24</v>
      </c>
      <c r="F13">
        <v>15000</v>
      </c>
      <c r="I13">
        <v>15000</v>
      </c>
    </row>
    <row r="14" spans="1:20" x14ac:dyDescent="0.25">
      <c r="A14" s="4" t="s">
        <v>25</v>
      </c>
      <c r="B14" s="4" t="s">
        <v>26</v>
      </c>
      <c r="C14" s="4"/>
      <c r="D14" s="4">
        <f>SUM(D9:D13)</f>
        <v>41295.512499999997</v>
      </c>
      <c r="E14" s="4">
        <f t="shared" ref="E14:J14" si="2">SUM(E9:E13)</f>
        <v>41492.463159375009</v>
      </c>
      <c r="F14" s="4">
        <f t="shared" si="2"/>
        <v>76690.862757274226</v>
      </c>
      <c r="G14" s="4">
        <f t="shared" si="2"/>
        <v>41890.722153688745</v>
      </c>
      <c r="H14" s="4">
        <f t="shared" si="2"/>
        <v>42092.052290057807</v>
      </c>
      <c r="I14" s="4">
        <f t="shared" si="2"/>
        <v>77294.864189879678</v>
      </c>
      <c r="J14" s="4">
        <f t="shared" si="2"/>
        <v>42499.168959327144</v>
      </c>
      <c r="K14" s="4"/>
      <c r="L14" s="4"/>
      <c r="M14" s="4"/>
      <c r="N14" s="4"/>
      <c r="P14" s="4"/>
      <c r="Q14" s="4"/>
      <c r="R14" s="4"/>
      <c r="S14" s="4"/>
      <c r="T14" s="4"/>
    </row>
    <row r="16" spans="1:20" x14ac:dyDescent="0.25">
      <c r="A16" s="4" t="s">
        <v>27</v>
      </c>
      <c r="B16" s="4" t="s">
        <v>28</v>
      </c>
      <c r="C16" s="4"/>
      <c r="D16" s="4">
        <f>D6-D14</f>
        <v>9824.9000000000015</v>
      </c>
      <c r="E16" s="4">
        <f t="shared" ref="E16:J16" si="3">E6-E14</f>
        <v>9648.3707624999879</v>
      </c>
      <c r="F16" s="4">
        <f t="shared" si="3"/>
        <v>-15429.598487509385</v>
      </c>
      <c r="G16" s="4">
        <f t="shared" si="3"/>
        <v>9290.9813941226166</v>
      </c>
      <c r="H16" s="4">
        <f t="shared" si="3"/>
        <v>9110.0994701005766</v>
      </c>
      <c r="I16" s="4">
        <f t="shared" si="3"/>
        <v>-15822.255278927958</v>
      </c>
      <c r="J16" s="4">
        <f t="shared" si="3"/>
        <v>8743.9060450120451</v>
      </c>
      <c r="K16" s="4"/>
      <c r="L16" s="4"/>
      <c r="M16" s="4"/>
      <c r="N16" s="4"/>
      <c r="O16" s="4"/>
      <c r="P16" s="4"/>
      <c r="Q16" s="4"/>
      <c r="R16" s="4"/>
    </row>
    <row r="17" spans="1:18" x14ac:dyDescent="0.25">
      <c r="A17" t="s">
        <v>29</v>
      </c>
      <c r="B17" t="s">
        <v>30</v>
      </c>
      <c r="D17">
        <v>7000000</v>
      </c>
      <c r="E17">
        <f>D18</f>
        <v>7009824.9000000004</v>
      </c>
      <c r="F17">
        <f t="shared" ref="F17:J17" si="4">E18</f>
        <v>7019473.2707625004</v>
      </c>
      <c r="G17">
        <f t="shared" si="4"/>
        <v>7004043.6722749909</v>
      </c>
      <c r="H17">
        <f t="shared" si="4"/>
        <v>7013334.6536691133</v>
      </c>
      <c r="I17">
        <f t="shared" si="4"/>
        <v>7022444.7531392137</v>
      </c>
      <c r="J17">
        <f t="shared" si="4"/>
        <v>7006622.4978602855</v>
      </c>
    </row>
    <row r="18" spans="1:18" x14ac:dyDescent="0.25">
      <c r="A18" s="4" t="s">
        <v>31</v>
      </c>
      <c r="B18" s="4" t="s">
        <v>32</v>
      </c>
      <c r="C18" s="4"/>
      <c r="D18" s="4">
        <f>D17+D16</f>
        <v>7009824.9000000004</v>
      </c>
      <c r="E18" s="4">
        <f>E17+E16</f>
        <v>7019473.2707625004</v>
      </c>
      <c r="F18" s="4">
        <f t="shared" ref="F18:J18" si="5">F17+F16</f>
        <v>7004043.6722749909</v>
      </c>
      <c r="G18" s="4">
        <f t="shared" si="5"/>
        <v>7013334.6536691133</v>
      </c>
      <c r="H18" s="4">
        <f t="shared" si="5"/>
        <v>7022444.7531392137</v>
      </c>
      <c r="I18" s="4">
        <f t="shared" si="5"/>
        <v>7006622.4978602855</v>
      </c>
      <c r="J18" s="4">
        <f t="shared" si="5"/>
        <v>7015366.4039052976</v>
      </c>
      <c r="K18" s="4"/>
      <c r="L18" s="4"/>
      <c r="M18" s="4"/>
      <c r="N18" s="4"/>
      <c r="P18" s="4">
        <f>E18</f>
        <v>7019473.2707625004</v>
      </c>
      <c r="Q18" s="4"/>
      <c r="R18" s="4"/>
    </row>
    <row r="19" spans="1:18" x14ac:dyDescent="0.25">
      <c r="O19">
        <v>6.4999999999999997E-3</v>
      </c>
      <c r="P19" s="4">
        <f t="dataTable" ref="P19:P21" dt2D="0" dtr="0" r1="C9"/>
        <v>7019550.2784625003</v>
      </c>
    </row>
    <row r="20" spans="1:18" x14ac:dyDescent="0.25">
      <c r="O20">
        <v>8.5000000000000006E-3</v>
      </c>
      <c r="P20" s="4">
        <v>7019396.2119624997</v>
      </c>
    </row>
    <row r="21" spans="1:18" x14ac:dyDescent="0.25">
      <c r="O21">
        <v>9.4999999999999998E-3</v>
      </c>
      <c r="P21" s="4">
        <v>7019319.1020625001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4CF59-A714-4FB6-9FEF-7B62975D5AC9}">
  <sheetPr codeName="Sheet8"/>
  <dimension ref="A1:T12"/>
  <sheetViews>
    <sheetView zoomScale="70" zoomScaleNormal="70" workbookViewId="0">
      <selection activeCell="J9" sqref="J9"/>
    </sheetView>
  </sheetViews>
  <sheetFormatPr defaultRowHeight="15" x14ac:dyDescent="0.25"/>
  <cols>
    <col min="1" max="1" width="19.42578125" bestFit="1" customWidth="1"/>
    <col min="2" max="2" width="45.28515625" hidden="1" customWidth="1"/>
    <col min="3" max="3" width="12.42578125" hidden="1" customWidth="1"/>
    <col min="15" max="15" width="0" hidden="1" customWidth="1"/>
    <col min="16" max="16" width="16.5703125" hidden="1" customWidth="1"/>
  </cols>
  <sheetData>
    <row r="1" spans="1:20" x14ac:dyDescent="0.25">
      <c r="A1" s="4" t="s">
        <v>0</v>
      </c>
      <c r="B1" s="4" t="s">
        <v>1</v>
      </c>
      <c r="C1" s="4" t="s">
        <v>46</v>
      </c>
      <c r="D1" s="5">
        <v>45292</v>
      </c>
      <c r="E1" s="5">
        <v>45324</v>
      </c>
      <c r="F1" s="5">
        <v>45356</v>
      </c>
      <c r="G1" s="5">
        <v>45388</v>
      </c>
      <c r="H1" s="5">
        <v>45420</v>
      </c>
      <c r="I1" s="5">
        <v>45452</v>
      </c>
      <c r="J1" s="5">
        <v>45484</v>
      </c>
      <c r="K1" s="4"/>
      <c r="L1" s="4"/>
      <c r="M1" s="4"/>
      <c r="N1" s="4"/>
      <c r="O1" s="4"/>
      <c r="P1" s="4"/>
      <c r="Q1" s="4"/>
      <c r="R1" s="4"/>
    </row>
    <row r="2" spans="1:20" x14ac:dyDescent="0.25">
      <c r="A2" s="4"/>
      <c r="B2" s="4"/>
      <c r="C2" s="4"/>
      <c r="D2" s="5"/>
      <c r="E2" s="5"/>
      <c r="F2" s="5"/>
      <c r="G2" s="5"/>
      <c r="H2" s="5"/>
      <c r="I2" s="5"/>
      <c r="J2" s="5"/>
      <c r="K2" s="4"/>
      <c r="L2" s="4"/>
      <c r="M2" s="4"/>
      <c r="N2" s="4"/>
      <c r="O2" s="4"/>
      <c r="P2" s="4"/>
      <c r="Q2" s="4"/>
      <c r="R2" s="4"/>
    </row>
    <row r="3" spans="1:20" x14ac:dyDescent="0.25">
      <c r="A3" s="4" t="s">
        <v>12</v>
      </c>
      <c r="B3" s="4" t="s">
        <v>13</v>
      </c>
      <c r="C3" s="4"/>
      <c r="D3" s="4">
        <v>51120.412499999999</v>
      </c>
      <c r="E3" s="4">
        <v>51140.833921874997</v>
      </c>
      <c r="F3" s="4">
        <v>61261.264269764841</v>
      </c>
      <c r="G3" s="4">
        <v>51181.703547811361</v>
      </c>
      <c r="H3" s="4">
        <v>51202.151760158384</v>
      </c>
      <c r="I3" s="4">
        <v>61472.60891095172</v>
      </c>
      <c r="J3" s="4">
        <v>51243.075004339189</v>
      </c>
      <c r="K3" s="4"/>
      <c r="L3" s="4"/>
      <c r="M3" s="4"/>
      <c r="N3" s="4"/>
      <c r="O3" s="4"/>
      <c r="P3" s="4"/>
      <c r="Q3" s="4"/>
      <c r="R3" s="4"/>
    </row>
    <row r="4" spans="1:20" x14ac:dyDescent="0.25">
      <c r="P4" s="1"/>
    </row>
    <row r="5" spans="1:20" x14ac:dyDescent="0.25">
      <c r="A5" s="4" t="s">
        <v>25</v>
      </c>
      <c r="B5" s="4" t="s">
        <v>26</v>
      </c>
      <c r="C5" s="4"/>
      <c r="D5" s="4">
        <v>41295.512499999997</v>
      </c>
      <c r="E5" s="4">
        <v>41492.463159375009</v>
      </c>
      <c r="F5" s="4">
        <v>76690.862757274226</v>
      </c>
      <c r="G5" s="4">
        <v>41890.722153688745</v>
      </c>
      <c r="H5" s="4">
        <v>42092.052290057807</v>
      </c>
      <c r="I5" s="4">
        <v>77294.864189879678</v>
      </c>
      <c r="J5" s="4">
        <v>42499.168959327144</v>
      </c>
      <c r="K5" s="4"/>
      <c r="L5" s="4"/>
      <c r="M5" s="4"/>
      <c r="N5" s="4"/>
      <c r="P5" s="4"/>
      <c r="Q5" s="4"/>
      <c r="R5" s="4"/>
      <c r="S5" s="4"/>
      <c r="T5" s="4"/>
    </row>
    <row r="7" spans="1:20" x14ac:dyDescent="0.25">
      <c r="A7" s="4" t="s">
        <v>27</v>
      </c>
      <c r="B7" s="4" t="s">
        <v>28</v>
      </c>
      <c r="C7" s="4"/>
      <c r="D7" s="4">
        <v>9824.9000000000015</v>
      </c>
      <c r="E7" s="4">
        <v>9648.3707624999879</v>
      </c>
      <c r="F7" s="4">
        <v>-15429.598487509385</v>
      </c>
      <c r="G7" s="4">
        <v>9290.9813941226166</v>
      </c>
      <c r="H7" s="4">
        <v>9110.0994701005766</v>
      </c>
      <c r="I7" s="4">
        <v>-15822.255278927958</v>
      </c>
      <c r="J7" s="4">
        <v>8743.9060450120451</v>
      </c>
      <c r="K7" s="4"/>
      <c r="L7" s="4"/>
      <c r="M7" s="4"/>
      <c r="N7" s="4"/>
      <c r="O7" s="4"/>
      <c r="P7" s="4"/>
      <c r="Q7" s="4"/>
      <c r="R7" s="4"/>
    </row>
    <row r="8" spans="1:2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20" x14ac:dyDescent="0.25">
      <c r="A9" s="4" t="s">
        <v>31</v>
      </c>
      <c r="B9" s="4" t="s">
        <v>32</v>
      </c>
      <c r="C9" s="4"/>
      <c r="D9" s="4">
        <v>7009824.9000000004</v>
      </c>
      <c r="E9" s="4">
        <v>7019473.2707625004</v>
      </c>
      <c r="F9" s="4">
        <v>7004043.6722749909</v>
      </c>
      <c r="G9" s="4">
        <v>7013334.6536691133</v>
      </c>
      <c r="H9" s="4">
        <v>7022444.7531392137</v>
      </c>
      <c r="I9" s="4">
        <v>7006622.4978602855</v>
      </c>
      <c r="J9" s="4">
        <v>7015366.4039052976</v>
      </c>
      <c r="K9" s="4"/>
      <c r="L9" s="4"/>
      <c r="M9" s="4"/>
      <c r="N9" s="4"/>
      <c r="P9" s="4">
        <f>E9</f>
        <v>7019473.2707625004</v>
      </c>
      <c r="Q9" s="4"/>
      <c r="R9" s="4"/>
    </row>
    <row r="10" spans="1:20" x14ac:dyDescent="0.25">
      <c r="O10">
        <v>6.4999999999999997E-3</v>
      </c>
      <c r="P10" s="4" t="e">
        <f t="dataTable" ref="P10:P12" dt2D="0" dtr="0" del1="1" r1="C5"/>
        <v>#REF!</v>
      </c>
    </row>
    <row r="11" spans="1:20" x14ac:dyDescent="0.25">
      <c r="O11">
        <v>8.5000000000000006E-3</v>
      </c>
      <c r="P11" s="4" t="e">
        <v>#REF!</v>
      </c>
    </row>
    <row r="12" spans="1:20" x14ac:dyDescent="0.25">
      <c r="O12">
        <v>9.4999999999999998E-3</v>
      </c>
      <c r="P12" s="4" t="e">
        <v>#REF!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8C82C9-49B8-476A-B4CC-6E9257E831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Historicals</vt:lpstr>
      <vt:lpstr>Sheet4</vt:lpstr>
      <vt:lpstr>Sheet1</vt:lpstr>
      <vt:lpstr>Powertable</vt:lpstr>
      <vt:lpstr>Table2</vt:lpstr>
      <vt:lpstr>Sheet3</vt:lpstr>
      <vt:lpstr>Sheet2</vt:lpstr>
      <vt:lpstr>Assumptions</vt:lpstr>
      <vt:lpstr>Predictions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Roli Arah</dc:creator>
  <cp:lastModifiedBy>Roli Arah</cp:lastModifiedBy>
  <dcterms:created xsi:type="dcterms:W3CDTF">2024-03-11T15:58:23Z</dcterms:created>
  <dcterms:modified xsi:type="dcterms:W3CDTF">2024-03-22T14:12:05Z</dcterms:modified>
</cp:coreProperties>
</file>